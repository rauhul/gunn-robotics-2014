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0" yWindow="0" windowWidth="28800" windowHeight="17460" tabRatio="814" firstSheet="1" activeTab="3"/>
  </bookViews>
  <sheets>
    <sheet name="MOTOR-SPECS" sheetId="4" r:id="rId1"/>
    <sheet name="Rotary Mechanism" sheetId="8" r:id="rId2"/>
    <sheet name="2-Speed Drive" sheetId="1" r:id="rId3"/>
    <sheet name="2-Speed Drive (2)" sheetId="9" r:id="rId4"/>
    <sheet name="2-Speed Drive (3)" sheetId="10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9" l="1"/>
  <c r="AK5" i="9"/>
  <c r="G18" i="10"/>
  <c r="M6" i="10"/>
  <c r="I15" i="10"/>
  <c r="J6" i="10"/>
  <c r="J5" i="10"/>
  <c r="M26" i="10"/>
  <c r="I19" i="10"/>
  <c r="L26" i="10"/>
  <c r="G22" i="10"/>
  <c r="I23" i="10"/>
  <c r="K26" i="10"/>
  <c r="J26" i="10"/>
  <c r="I26" i="10"/>
  <c r="C26" i="10"/>
  <c r="D7" i="10"/>
  <c r="C7" i="10"/>
  <c r="M23" i="10"/>
  <c r="K7" i="10"/>
  <c r="K22" i="10"/>
  <c r="K23" i="10"/>
  <c r="K24" i="10"/>
  <c r="L24" i="10"/>
  <c r="L23" i="10"/>
  <c r="J22" i="10"/>
  <c r="I22" i="10"/>
  <c r="M22" i="10"/>
  <c r="L22" i="10"/>
  <c r="M19" i="10"/>
  <c r="K18" i="10"/>
  <c r="K19" i="10"/>
  <c r="K20" i="10"/>
  <c r="L20" i="10"/>
  <c r="J14" i="10"/>
  <c r="I14" i="10"/>
  <c r="J18" i="10"/>
  <c r="I18" i="10"/>
  <c r="C18" i="10"/>
  <c r="C19" i="10"/>
  <c r="C20" i="10"/>
  <c r="L19" i="10"/>
  <c r="W6" i="10"/>
  <c r="R5" i="10"/>
  <c r="R6" i="10"/>
  <c r="Q18" i="10"/>
  <c r="X18" i="10"/>
  <c r="Q6" i="10"/>
  <c r="X14" i="10"/>
  <c r="U18" i="10"/>
  <c r="W14" i="10"/>
  <c r="T18" i="10"/>
  <c r="M18" i="10"/>
  <c r="L18" i="10"/>
  <c r="X5" i="10"/>
  <c r="T14" i="10"/>
  <c r="T16" i="10"/>
  <c r="U16" i="10"/>
  <c r="M15" i="10"/>
  <c r="K14" i="10"/>
  <c r="K15" i="10"/>
  <c r="K16" i="10"/>
  <c r="L16" i="10"/>
  <c r="T15" i="10"/>
  <c r="U15" i="10"/>
  <c r="L15" i="10"/>
  <c r="U14" i="10"/>
  <c r="M14" i="10"/>
  <c r="L14" i="10"/>
  <c r="F7" i="10"/>
  <c r="E7" i="10"/>
  <c r="T6" i="10"/>
  <c r="S6" i="10"/>
  <c r="AC7" i="9"/>
  <c r="AE14" i="9"/>
  <c r="AP17" i="9"/>
  <c r="AL5" i="9"/>
  <c r="AK6" i="9"/>
  <c r="AB7" i="9"/>
  <c r="AD14" i="9"/>
  <c r="AD15" i="9"/>
  <c r="AL18" i="9"/>
  <c r="AL22" i="9"/>
  <c r="AJ10" i="9"/>
  <c r="AK14" i="9"/>
  <c r="AL14" i="9"/>
  <c r="AJ14" i="9"/>
  <c r="AE18" i="9"/>
  <c r="AB18" i="9"/>
  <c r="AC18" i="9"/>
  <c r="AI18" i="9"/>
  <c r="AJ18" i="9"/>
  <c r="AG18" i="9"/>
  <c r="AH18" i="9"/>
  <c r="AK18" i="9"/>
  <c r="AH6" i="9"/>
  <c r="AH5" i="9"/>
  <c r="AD22" i="9"/>
  <c r="AB22" i="9"/>
  <c r="J5" i="9"/>
  <c r="K7" i="9"/>
  <c r="AC22" i="9"/>
  <c r="AD18" i="9"/>
  <c r="AC10" i="9"/>
  <c r="AG14" i="9"/>
  <c r="AI14" i="9"/>
  <c r="AH14" i="9"/>
  <c r="AJ6" i="9"/>
  <c r="AE7" i="9"/>
  <c r="AD7" i="9"/>
  <c r="I26" i="9"/>
  <c r="M6" i="9"/>
  <c r="J6" i="9"/>
  <c r="D7" i="9"/>
  <c r="C7" i="9"/>
  <c r="W6" i="9"/>
  <c r="R5" i="9"/>
  <c r="I15" i="9"/>
  <c r="M26" i="9"/>
  <c r="I19" i="9"/>
  <c r="L26" i="9"/>
  <c r="G22" i="9"/>
  <c r="I23" i="9"/>
  <c r="K26" i="9"/>
  <c r="J26" i="9"/>
  <c r="C26" i="9"/>
  <c r="M23" i="9"/>
  <c r="K22" i="9"/>
  <c r="K23" i="9"/>
  <c r="K24" i="9"/>
  <c r="L24" i="9"/>
  <c r="L23" i="9"/>
  <c r="J22" i="9"/>
  <c r="I22" i="9"/>
  <c r="M22" i="9"/>
  <c r="L22" i="9"/>
  <c r="M19" i="9"/>
  <c r="K18" i="9"/>
  <c r="K19" i="9"/>
  <c r="K20" i="9"/>
  <c r="L20" i="9"/>
  <c r="J14" i="9"/>
  <c r="I14" i="9"/>
  <c r="J18" i="9"/>
  <c r="I18" i="9"/>
  <c r="C18" i="9"/>
  <c r="C19" i="9"/>
  <c r="C20" i="9"/>
  <c r="L19" i="9"/>
  <c r="R6" i="9"/>
  <c r="Q18" i="9"/>
  <c r="X18" i="9"/>
  <c r="Q6" i="9"/>
  <c r="X14" i="9"/>
  <c r="U18" i="9"/>
  <c r="W14" i="9"/>
  <c r="T18" i="9"/>
  <c r="M18" i="9"/>
  <c r="L18" i="9"/>
  <c r="X5" i="9"/>
  <c r="T14" i="9"/>
  <c r="T16" i="9"/>
  <c r="U16" i="9"/>
  <c r="M15" i="9"/>
  <c r="K14" i="9"/>
  <c r="K15" i="9"/>
  <c r="K16" i="9"/>
  <c r="L16" i="9"/>
  <c r="T15" i="9"/>
  <c r="U15" i="9"/>
  <c r="L15" i="9"/>
  <c r="U14" i="9"/>
  <c r="M14" i="9"/>
  <c r="L14" i="9"/>
  <c r="F7" i="9"/>
  <c r="E7" i="9"/>
  <c r="T6" i="9"/>
  <c r="S6" i="9"/>
  <c r="X14" i="1"/>
  <c r="W14" i="1"/>
  <c r="R6" i="1"/>
  <c r="X18" i="1"/>
  <c r="R5" i="1"/>
  <c r="J6" i="1"/>
  <c r="J5" i="1"/>
  <c r="W6" i="1"/>
  <c r="Q18" i="1"/>
  <c r="X5" i="1"/>
  <c r="C26" i="1"/>
  <c r="M6" i="1"/>
  <c r="I15" i="1"/>
  <c r="G22" i="1"/>
  <c r="I23" i="1"/>
  <c r="I19" i="1"/>
  <c r="I26" i="1"/>
  <c r="K7" i="1"/>
  <c r="D7" i="1"/>
  <c r="C7" i="1"/>
  <c r="M23" i="1"/>
  <c r="K23" i="1"/>
  <c r="M19" i="1"/>
  <c r="K19" i="1"/>
  <c r="M15" i="1"/>
  <c r="K15" i="1"/>
  <c r="L15" i="1"/>
  <c r="L23" i="1"/>
  <c r="L19" i="1"/>
  <c r="J26" i="1"/>
  <c r="G17" i="8"/>
  <c r="G8" i="8"/>
  <c r="I8" i="8"/>
  <c r="H8" i="8"/>
  <c r="G12" i="8"/>
  <c r="H12" i="8"/>
  <c r="H17" i="8"/>
  <c r="G13" i="8"/>
  <c r="H13" i="8"/>
  <c r="G4" i="4"/>
  <c r="G10" i="4"/>
  <c r="D17" i="4"/>
  <c r="G6" i="4"/>
  <c r="G27" i="4"/>
  <c r="G26" i="4"/>
  <c r="G24" i="4"/>
  <c r="G25" i="4"/>
  <c r="G23" i="4"/>
  <c r="G31" i="4"/>
  <c r="F36" i="4"/>
  <c r="E36" i="4"/>
  <c r="F37" i="4"/>
  <c r="E37" i="4"/>
  <c r="D37" i="4"/>
  <c r="D36" i="4"/>
  <c r="C36" i="4"/>
  <c r="G36" i="4"/>
  <c r="C37" i="4"/>
  <c r="G37" i="4"/>
  <c r="G18" i="4"/>
  <c r="G20" i="4"/>
  <c r="C19" i="4"/>
  <c r="D19" i="4"/>
  <c r="G19" i="4"/>
  <c r="C17" i="4"/>
  <c r="G17" i="4"/>
  <c r="G30" i="4"/>
  <c r="G29" i="4"/>
  <c r="G32" i="4"/>
  <c r="G14" i="4"/>
  <c r="G15" i="4"/>
  <c r="G34" i="4"/>
  <c r="G33" i="4"/>
  <c r="G21" i="4"/>
  <c r="G13" i="4"/>
  <c r="G9" i="4"/>
  <c r="G5" i="4"/>
  <c r="C16" i="8"/>
  <c r="G51" i="4"/>
  <c r="G3" i="4"/>
  <c r="G12" i="4"/>
  <c r="H50" i="4"/>
  <c r="G50" i="4"/>
  <c r="G49" i="4"/>
  <c r="G11" i="4"/>
  <c r="G8" i="4"/>
  <c r="Q6" i="1"/>
  <c r="U18" i="1"/>
  <c r="T18" i="1"/>
  <c r="S6" i="1"/>
  <c r="T6" i="1"/>
  <c r="T14" i="1"/>
  <c r="T16" i="1"/>
  <c r="U16" i="1"/>
  <c r="T15" i="1"/>
  <c r="U15" i="1"/>
  <c r="U14" i="1"/>
  <c r="K14" i="1"/>
  <c r="K16" i="1"/>
  <c r="L16" i="1"/>
  <c r="K18" i="1"/>
  <c r="K20" i="1"/>
  <c r="L20" i="1"/>
  <c r="K22" i="1"/>
  <c r="K24" i="1"/>
  <c r="L24" i="1"/>
  <c r="L14" i="1"/>
  <c r="L18" i="1"/>
  <c r="L22" i="1"/>
  <c r="J14" i="1"/>
  <c r="I14" i="1"/>
  <c r="J18" i="1"/>
  <c r="I18" i="1"/>
  <c r="C18" i="1"/>
  <c r="J22" i="1"/>
  <c r="I22" i="1"/>
  <c r="C19" i="1"/>
  <c r="C20" i="1"/>
  <c r="E7" i="1"/>
  <c r="F7" i="1"/>
  <c r="M14" i="1"/>
  <c r="M18" i="1"/>
  <c r="M22" i="1"/>
  <c r="L26" i="1"/>
  <c r="K26" i="1"/>
  <c r="M26" i="1"/>
</calcChain>
</file>

<file path=xl/sharedStrings.xml><?xml version="1.0" encoding="utf-8"?>
<sst xmlns="http://schemas.openxmlformats.org/spreadsheetml/2006/main" count="374" uniqueCount="162">
  <si>
    <t>Free Speed (RPM)</t>
  </si>
  <si>
    <t>Stall Torque (N*m)</t>
  </si>
  <si>
    <t>Stall Current (Amp)</t>
  </si>
  <si>
    <t>Free Current (Amp)</t>
  </si>
  <si>
    <t>CIM</t>
  </si>
  <si>
    <t>Weight on Driven Wheels</t>
  </si>
  <si>
    <t>Driving               Gear</t>
  </si>
  <si>
    <t>Driven                     Gear</t>
  </si>
  <si>
    <t>High Speed Driving Gear</t>
  </si>
  <si>
    <t>High Speed Driven Gear</t>
  </si>
  <si>
    <t>Low Speed Driving Gear</t>
  </si>
  <si>
    <t>Low Speed Driven Gear</t>
  </si>
  <si>
    <t>Power (W)</t>
  </si>
  <si>
    <t>RS-550</t>
  </si>
  <si>
    <t>MiniCIM</t>
  </si>
  <si>
    <t>CIM + MiniCIM @ 1:1</t>
  </si>
  <si>
    <t>CIM + MiniCIM @ 14:12</t>
  </si>
  <si>
    <t>CIM+550 @ 4:1</t>
  </si>
  <si>
    <t># Gearboxes in Drivetrain</t>
  </si>
  <si>
    <t># Motors per Gearbox</t>
  </si>
  <si>
    <t>&lt;-- High Gear</t>
  </si>
  <si>
    <t>&lt;-- Low Gear</t>
  </si>
  <si>
    <t>Drivetrain High Gear Free-Speed</t>
  </si>
  <si>
    <t>Drivetrain High Gear Adjusted Speed</t>
  </si>
  <si>
    <t>Drivetrain Low Gear Free-Speed</t>
  </si>
  <si>
    <t>Drivetrain Low Gear Adjusted Speed</t>
  </si>
  <si>
    <t>Gearbox Efficiency</t>
  </si>
  <si>
    <t>No Load:</t>
  </si>
  <si>
    <t>Loaded:</t>
  </si>
  <si>
    <t>Arm Rotational Speed</t>
  </si>
  <si>
    <t>Arm Time to move 90-degrees</t>
  </si>
  <si>
    <t>Stall Load</t>
  </si>
  <si>
    <t>&lt;-- Overall Ratio</t>
  </si>
  <si>
    <t>Current Draw per Motor  (loaded)</t>
  </si>
  <si>
    <t>RS-775-18 (@12V)</t>
  </si>
  <si>
    <t>BAG Motor</t>
  </si>
  <si>
    <t>RS-775-12</t>
  </si>
  <si>
    <t>RS-545-12</t>
  </si>
  <si>
    <t>RS-540-12</t>
  </si>
  <si>
    <t>AM 9015</t>
  </si>
  <si>
    <t>RS395-12</t>
  </si>
  <si>
    <t>RS390-12</t>
  </si>
  <si>
    <t>Snowblower motor</t>
  </si>
  <si>
    <t>Keyang
Window Motor RH</t>
  </si>
  <si>
    <t>VEX 393 Motor (as shipped)</t>
  </si>
  <si>
    <t>VEX 393 Motor (high speed)</t>
  </si>
  <si>
    <t>AM PG71 Gearmotor</t>
  </si>
  <si>
    <t>AM PG Motor (no gearbox)</t>
  </si>
  <si>
    <t>AM PG27 Gearmotor</t>
  </si>
  <si>
    <t>AM PG188 Gearmotor</t>
  </si>
  <si>
    <t>Denso Window Motor RH 262100-3030 (fc13-103)</t>
  </si>
  <si>
    <t>Denso Window Motor LH 262100-3040 (fc13-102)</t>
  </si>
  <si>
    <r>
      <t>Denso Throttle Control AE235100</t>
    </r>
    <r>
      <rPr>
        <b/>
        <sz val="10"/>
        <rFont val="Monaco"/>
        <family val="2"/>
      </rPr>
      <t>‐</t>
    </r>
    <r>
      <rPr>
        <b/>
        <sz val="10"/>
        <rFont val="Arial"/>
        <family val="2"/>
      </rPr>
      <t>0160</t>
    </r>
  </si>
  <si>
    <t>FP 00801-0673</t>
  </si>
  <si>
    <t>FP 00968-2719</t>
  </si>
  <si>
    <t>FP 00968-9015</t>
  </si>
  <si>
    <t>FP 00968-9012</t>
  </si>
  <si>
    <t>FP 00968-9013</t>
  </si>
  <si>
    <r>
      <t>Nippon-Denso E6DF</t>
    </r>
    <r>
      <rPr>
        <b/>
        <sz val="10"/>
        <rFont val="Monaco"/>
        <family val="2"/>
      </rPr>
      <t>‐</t>
    </r>
    <r>
      <rPr>
        <b/>
        <sz val="10"/>
        <rFont val="Arial"/>
        <family val="2"/>
      </rPr>
      <t>14A365</t>
    </r>
    <r>
      <rPr>
        <b/>
        <sz val="10"/>
        <rFont val="Monaco"/>
        <family val="2"/>
      </rPr>
      <t>‐</t>
    </r>
    <r>
      <rPr>
        <b/>
        <sz val="10"/>
        <rFont val="Arial"/>
        <family val="2"/>
      </rPr>
      <t>BB or E6DF</t>
    </r>
    <r>
      <rPr>
        <b/>
        <sz val="10"/>
        <rFont val="Monaco"/>
        <family val="2"/>
      </rPr>
      <t>‐</t>
    </r>
    <r>
      <rPr>
        <b/>
        <sz val="10"/>
        <rFont val="Arial"/>
        <family val="2"/>
      </rPr>
      <t>14A366</t>
    </r>
    <r>
      <rPr>
        <b/>
        <sz val="10"/>
        <rFont val="Monaco"/>
        <family val="2"/>
      </rPr>
      <t>‐</t>
    </r>
    <r>
      <rPr>
        <b/>
        <sz val="10"/>
        <rFont val="Arial"/>
        <family val="2"/>
      </rPr>
      <t>BB</t>
    </r>
  </si>
  <si>
    <t>Motor Specifications (listed @12V)</t>
  </si>
  <si>
    <t>BAG Motor w/ 100:1 VersaPlanetary</t>
  </si>
  <si>
    <t>Stall Torque (N-m)</t>
  </si>
  <si>
    <t>RS-555</t>
  </si>
  <si>
    <t>Swerve Rotary Mechanism</t>
  </si>
  <si>
    <t>Robot Weight (lbs)</t>
  </si>
  <si>
    <t xml:space="preserve">Wheels </t>
  </si>
  <si>
    <t>Wheel Width  (in)</t>
  </si>
  <si>
    <t xml:space="preserve">Coffeicent of Friction </t>
  </si>
  <si>
    <t>Torque Arm  (in)</t>
  </si>
  <si>
    <t xml:space="preserve">Bearing Coffeicent of Friction </t>
  </si>
  <si>
    <t>Arm Load  (lbs)</t>
  </si>
  <si>
    <t>Bearing Coeff</t>
  </si>
  <si>
    <t>Mid Speed Driving Gear</t>
  </si>
  <si>
    <t>Mid Speed Driven Gear</t>
  </si>
  <si>
    <t>Drivetrain Mid Gear Free-Speed</t>
  </si>
  <si>
    <t>Drivetrain Mid Gear Adjusted Speed</t>
  </si>
  <si>
    <t>3 Speed Drive Characteristics</t>
  </si>
  <si>
    <t>Wheel Coeff (Static)</t>
  </si>
  <si>
    <t>Wheel Coeff (Dynamic)</t>
  </si>
  <si>
    <t>A</t>
  </si>
  <si>
    <t>B</t>
  </si>
  <si>
    <t>Main Breaker Amperage</t>
  </si>
  <si>
    <t>&lt;-- Mid Gear</t>
  </si>
  <si>
    <t>&lt;-- Shifter Spread</t>
  </si>
  <si>
    <t>&lt;-- Full Spread</t>
  </si>
  <si>
    <t>Maximum Friction Force (Static)</t>
  </si>
  <si>
    <t>Maximum Friction Force (Dynamic)</t>
  </si>
  <si>
    <t>Robot Weight</t>
  </si>
  <si>
    <t>Battery Weight</t>
  </si>
  <si>
    <t>Bumber Weight</t>
  </si>
  <si>
    <t>Stolen Weight</t>
  </si>
  <si>
    <t>Wheel Dia</t>
  </si>
  <si>
    <t>High Gear Pushing Force (Breaker)</t>
  </si>
  <si>
    <t>Snap Action Breaker Amperage</t>
  </si>
  <si>
    <t>Pushing Match Current (A, B, Total)</t>
  </si>
  <si>
    <t>% Overage (A, B, Main)</t>
  </si>
  <si>
    <t xml:space="preserve"> High Gear Adjusted Pushing Speed</t>
  </si>
  <si>
    <t>Low Gear Adjusted Pushing Speed</t>
  </si>
  <si>
    <t>Mid Gear Adjusted Pushing Speed</t>
  </si>
  <si>
    <t>Stall Torque</t>
  </si>
  <si>
    <t>Typical Load:</t>
  </si>
  <si>
    <t>Pushing Load:</t>
  </si>
  <si>
    <t>Wheel Width</t>
  </si>
  <si>
    <t>Thurst Bearing Diameter</t>
  </si>
  <si>
    <t>Wheel Distance to Pitvot</t>
  </si>
  <si>
    <t>Thrust Bearing Distance to Pivot</t>
  </si>
  <si>
    <t>Typical Arm Load</t>
  </si>
  <si>
    <t>Pushing Arm Load</t>
  </si>
  <si>
    <t>Speed Loss, Drivetrain Efficiency</t>
  </si>
  <si>
    <t>Free Current</t>
  </si>
  <si>
    <t>Stall Current</t>
  </si>
  <si>
    <t>Free Speed</t>
  </si>
  <si>
    <t>Maximum Current Draw</t>
  </si>
  <si>
    <t>Low Gear Pushing Force (Beaker)</t>
  </si>
  <si>
    <t>Mid Gear Pushing Force (Breaker)</t>
  </si>
  <si>
    <t>Motor Voltage, Internal Resistance</t>
  </si>
  <si>
    <t>Current Draw per Motor  Pushing load</t>
  </si>
  <si>
    <t>&lt;-- Gear Ratio</t>
  </si>
  <si>
    <t>Current Draw per Motor Typical load</t>
  </si>
  <si>
    <t>Motor Voltage (A, B)  Battery ε</t>
  </si>
  <si>
    <t># Motor per Gearbox     (A, B)</t>
  </si>
  <si>
    <t>Resistance (Battery, PD Board, Breaker ESC)</t>
  </si>
  <si>
    <t>Resistance (A, B)</t>
  </si>
  <si>
    <t>Safety Factor</t>
  </si>
  <si>
    <t>Motor Voltage (A, B)</t>
  </si>
  <si>
    <t>Additional Weighted Wheels</t>
  </si>
  <si>
    <t>Weighted Wheel Moment of Inertia</t>
  </si>
  <si>
    <t>Object Diameter</t>
  </si>
  <si>
    <t>Object Moment of Interia</t>
  </si>
  <si>
    <t>Flywheel Moment of Inertia</t>
  </si>
  <si>
    <t>Number of Flywheels</t>
  </si>
  <si>
    <t>Flywheel Spring Constant</t>
  </si>
  <si>
    <t>Flywheel Diameter</t>
  </si>
  <si>
    <t>Flywheel - Object      Coeff</t>
  </si>
  <si>
    <t>System Compression</t>
  </si>
  <si>
    <t>Time to X% of Free Speed</t>
  </si>
  <si>
    <t>X% of Free Speed</t>
  </si>
  <si>
    <t>% Free Speed (Time Calc)</t>
  </si>
  <si>
    <t>Total Motorized Moment of Inertia</t>
  </si>
  <si>
    <t>Flywheel - Object Friction Force</t>
  </si>
  <si>
    <t>Gearbox Free Speed</t>
  </si>
  <si>
    <t xml:space="preserve"> Gearbox Stall Torque</t>
  </si>
  <si>
    <t>Object Tangential Release Velocity</t>
  </si>
  <si>
    <t>Flywheel Compressed Diameter</t>
  </si>
  <si>
    <t>Flywheel - Object Normal Force</t>
  </si>
  <si>
    <t>Flywheel Output Angular Velocity</t>
  </si>
  <si>
    <t>Flywheel Output Torque</t>
  </si>
  <si>
    <t>Single Wheel Flywheel Design + Incompressable Object</t>
  </si>
  <si>
    <t>Motor Output Angular Velocity</t>
  </si>
  <si>
    <t>Motor Current Draw</t>
  </si>
  <si>
    <t>Object Angular Release Velocity</t>
  </si>
  <si>
    <t>Motor Power Output</t>
  </si>
  <si>
    <t>=</t>
  </si>
  <si>
    <t>Object Release Mechanical Energy</t>
  </si>
  <si>
    <t>Object Mass</t>
  </si>
  <si>
    <t>Flywheel Mechanical Energy</t>
  </si>
  <si>
    <t xml:space="preserve">stall torque=r*Fn*u </t>
  </si>
  <si>
    <t>fn = compress*k</t>
  </si>
  <si>
    <t xml:space="preserve">max compress req to sotp wheel </t>
  </si>
  <si>
    <t>t/(uk)=(r0-compress)*compress</t>
  </si>
  <si>
    <t>r=r0-Fn/k</t>
  </si>
  <si>
    <t>Motor Moment of Interia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</si>
</sst>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164" formatCode="0.00\ &quot;: 1&quot;"/>
    <numFmt numFmtId="165" formatCode="0.00\ \x"/>
    <numFmt numFmtId="166" formatCode="0.00\ &quot;ft/s&quot;"/>
    <numFmt numFmtId="167" formatCode="0.00\ &quot;Amps&quot;"/>
    <numFmt numFmtId="168" formatCode="0.00\ &quot;amps&quot;"/>
    <numFmt numFmtId="169" formatCode="0.0\ &quot;deg/s&quot;"/>
    <numFmt numFmtId="170" formatCode="0.00\ &quot;sec&quot;"/>
    <numFmt numFmtId="171" formatCode="0.00\ &quot;lbs&quot;"/>
    <numFmt numFmtId="172" formatCode="0.0000"/>
    <numFmt numFmtId="173" formatCode="0.000"/>
    <numFmt numFmtId="174" formatCode="0.0\ &quot;lbf&quot;"/>
    <numFmt numFmtId="175" formatCode="0.0\ &quot;lbs&quot;"/>
    <numFmt numFmtId="176" formatCode="0.0\ &quot;in&quot;"/>
    <numFmt numFmtId="177" formatCode="0.0\ &quot;ft/s&quot;"/>
    <numFmt numFmtId="178" formatCode="0\ &quot;deg/s&quot;"/>
    <numFmt numFmtId="179" formatCode="0.0\ &quot;in-lbf&quot;"/>
    <numFmt numFmtId="180" formatCode="0.00\ &quot;in&quot;"/>
    <numFmt numFmtId="181" formatCode="0.00\ &quot;V&quot;"/>
    <numFmt numFmtId="182" formatCode="0.00\ &quot;Nm&quot;"/>
    <numFmt numFmtId="183" formatCode="0.000\ &quot;Ohm&quot;"/>
    <numFmt numFmtId="184" formatCode="0\ &quot;RPM&quot;"/>
    <numFmt numFmtId="185" formatCode="0.000\ &quot;Ohms&quot;"/>
    <numFmt numFmtId="186" formatCode="General\ &quot;lb-in2&quot;"/>
    <numFmt numFmtId="187" formatCode="General\ &quot;in&quot;"/>
    <numFmt numFmtId="188" formatCode="General\ &quot;lbs&quot;"/>
    <numFmt numFmtId="189" formatCode="General\ &quot;kg-m2&quot;"/>
    <numFmt numFmtId="190" formatCode="0\ &quot;rad/s&quot;"/>
    <numFmt numFmtId="191" formatCode="0.000\ &quot;sec&quot;"/>
    <numFmt numFmtId="192" formatCode="0.0\ &quot;mph&quot;"/>
    <numFmt numFmtId="193" formatCode="General\ &quot;lb/in&quot;"/>
    <numFmt numFmtId="194" formatCode="0.000\ &quot;Nm&quot;"/>
    <numFmt numFmtId="195" formatCode="0.0\ &quot;in/s&quot;"/>
    <numFmt numFmtId="196" formatCode="0.00\ &quot;Watts&quot;"/>
    <numFmt numFmtId="197" formatCode="0.00\ &quot;kg&quot;"/>
    <numFmt numFmtId="198" formatCode="0.0\ &quot;J&quot;"/>
  </numFmts>
  <fonts count="16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indexed="10"/>
      <name val="Calibri"/>
      <scheme val="minor"/>
    </font>
    <font>
      <sz val="12"/>
      <name val="Calibri"/>
      <scheme val="minor"/>
    </font>
    <font>
      <sz val="10"/>
      <color theme="1"/>
      <name val="Arial"/>
    </font>
    <font>
      <b/>
      <sz val="10"/>
      <name val="Monaco"/>
      <family val="2"/>
    </font>
    <font>
      <b/>
      <sz val="12"/>
      <color theme="5"/>
      <name val="Arial"/>
    </font>
    <font>
      <sz val="8"/>
      <name val="Calibri"/>
      <family val="2"/>
      <charset val="238"/>
      <scheme val="minor"/>
    </font>
    <font>
      <sz val="12"/>
      <color theme="1"/>
      <name val="Calibri"/>
    </font>
    <font>
      <sz val="12"/>
      <color rgb="FF000000"/>
      <name val="Calibri"/>
      <family val="2"/>
      <charset val="136"/>
      <scheme val="minor"/>
    </font>
    <font>
      <sz val="12"/>
      <name val="Calibri"/>
    </font>
    <font>
      <sz val="12"/>
      <color rgb="FFFF0000"/>
      <name val="Calibri"/>
    </font>
    <font>
      <sz val="12"/>
      <color indexed="10"/>
      <name val="Calibri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17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7">
    <xf numFmtId="0" fontId="0" fillId="0" borderId="0" xfId="0"/>
    <xf numFmtId="0" fontId="0" fillId="0" borderId="0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0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Border="1" applyAlignment="1">
      <alignment horizontal="right" vertical="center"/>
    </xf>
    <xf numFmtId="9" fontId="0" fillId="2" borderId="5" xfId="0" applyNumberFormat="1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6" xfId="0" applyFont="1" applyBorder="1" applyAlignment="1">
      <alignment vertical="center"/>
    </xf>
    <xf numFmtId="0" fontId="0" fillId="2" borderId="5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Font="1"/>
    <xf numFmtId="0" fontId="6" fillId="0" borderId="0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164" fontId="0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top"/>
    </xf>
    <xf numFmtId="0" fontId="0" fillId="0" borderId="0" xfId="0" applyFont="1" applyBorder="1" applyAlignment="1">
      <alignment vertical="top"/>
    </xf>
    <xf numFmtId="168" fontId="5" fillId="0" borderId="5" xfId="0" applyNumberFormat="1" applyFont="1" applyBorder="1" applyAlignment="1">
      <alignment horizontal="center" vertical="center"/>
    </xf>
    <xf numFmtId="169" fontId="5" fillId="0" borderId="5" xfId="0" applyNumberFormat="1" applyFont="1" applyBorder="1" applyAlignment="1">
      <alignment horizontal="center" vertical="center"/>
    </xf>
    <xf numFmtId="170" fontId="5" fillId="0" borderId="5" xfId="0" applyNumberFormat="1" applyFont="1" applyBorder="1" applyAlignment="1">
      <alignment horizontal="center" vertical="center"/>
    </xf>
    <xf numFmtId="171" fontId="0" fillId="0" borderId="5" xfId="0" applyNumberFormat="1" applyFont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right" vertical="center" wrapText="1"/>
    </xf>
    <xf numFmtId="0" fontId="2" fillId="0" borderId="5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 wrapText="1"/>
    </xf>
    <xf numFmtId="0" fontId="7" fillId="0" borderId="0" xfId="0" applyFont="1"/>
    <xf numFmtId="2" fontId="1" fillId="0" borderId="0" xfId="0" applyNumberFormat="1" applyFont="1" applyBorder="1" applyAlignment="1">
      <alignment horizontal="center" vertical="center" wrapText="1"/>
    </xf>
    <xf numFmtId="2" fontId="1" fillId="0" borderId="0" xfId="0" applyNumberFormat="1" applyFont="1" applyBorder="1" applyAlignment="1">
      <alignment horizontal="right" vertical="center" wrapText="1"/>
    </xf>
    <xf numFmtId="2" fontId="1" fillId="0" borderId="0" xfId="0" applyNumberFormat="1" applyFont="1" applyAlignment="1">
      <alignment horizontal="center" vertical="center" wrapText="1"/>
    </xf>
    <xf numFmtId="2" fontId="7" fillId="0" borderId="5" xfId="0" applyNumberFormat="1" applyFont="1" applyBorder="1" applyAlignment="1">
      <alignment horizontal="center" vertical="center" wrapText="1"/>
    </xf>
    <xf numFmtId="2" fontId="7" fillId="0" borderId="5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Alignment="1">
      <alignment horizontal="right" vertical="center" wrapText="1"/>
    </xf>
    <xf numFmtId="0" fontId="7" fillId="0" borderId="0" xfId="0" applyFont="1" applyAlignment="1">
      <alignment horizontal="right"/>
    </xf>
    <xf numFmtId="172" fontId="2" fillId="0" borderId="5" xfId="0" applyNumberFormat="1" applyFont="1" applyFill="1" applyBorder="1" applyAlignment="1">
      <alignment horizontal="center" vertical="center" wrapText="1"/>
    </xf>
    <xf numFmtId="173" fontId="2" fillId="0" borderId="5" xfId="0" applyNumberFormat="1" applyFont="1" applyFill="1" applyBorder="1" applyAlignment="1">
      <alignment horizontal="center" vertical="center" wrapText="1"/>
    </xf>
    <xf numFmtId="2" fontId="9" fillId="0" borderId="0" xfId="0" applyNumberFormat="1" applyFont="1" applyBorder="1" applyAlignment="1">
      <alignment horizontal="left" vertical="center"/>
    </xf>
    <xf numFmtId="1" fontId="2" fillId="0" borderId="5" xfId="0" applyNumberFormat="1" applyFont="1" applyFill="1" applyBorder="1" applyAlignment="1">
      <alignment horizontal="center" vertical="center" wrapText="1"/>
    </xf>
    <xf numFmtId="1" fontId="7" fillId="0" borderId="5" xfId="0" applyNumberFormat="1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 vertical="center" wrapText="1"/>
    </xf>
    <xf numFmtId="1" fontId="2" fillId="0" borderId="0" xfId="0" applyNumberFormat="1" applyFont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/>
    </xf>
    <xf numFmtId="1" fontId="11" fillId="7" borderId="5" xfId="0" applyNumberFormat="1" applyFont="1" applyFill="1" applyBorder="1" applyAlignment="1">
      <alignment horizontal="center" vertical="center"/>
    </xf>
    <xf numFmtId="2" fontId="11" fillId="7" borderId="5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/>
    <xf numFmtId="0" fontId="13" fillId="0" borderId="0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0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9" fontId="11" fillId="2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0" xfId="0" applyFont="1" applyBorder="1" applyAlignment="1">
      <alignment horizontal="right" vertical="center"/>
    </xf>
    <xf numFmtId="2" fontId="11" fillId="0" borderId="0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vertical="center"/>
    </xf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6" xfId="0" applyFont="1" applyBorder="1" applyAlignment="1">
      <alignment vertical="center"/>
    </xf>
    <xf numFmtId="0" fontId="13" fillId="0" borderId="5" xfId="0" applyFont="1" applyFill="1" applyBorder="1" applyAlignment="1">
      <alignment horizontal="center" vertical="center" wrapText="1"/>
    </xf>
    <xf numFmtId="175" fontId="11" fillId="2" borderId="5" xfId="0" applyNumberFormat="1" applyFont="1" applyFill="1" applyBorder="1" applyAlignment="1">
      <alignment horizontal="center" vertical="center"/>
    </xf>
    <xf numFmtId="167" fontId="11" fillId="2" borderId="5" xfId="0" applyNumberFormat="1" applyFont="1" applyFill="1" applyBorder="1" applyAlignment="1">
      <alignment horizontal="center" vertical="center"/>
    </xf>
    <xf numFmtId="176" fontId="11" fillId="2" borderId="5" xfId="0" applyNumberFormat="1" applyFont="1" applyFill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8" xfId="0" applyFont="1" applyBorder="1" applyAlignment="1">
      <alignment vertical="center"/>
    </xf>
    <xf numFmtId="0" fontId="11" fillId="0" borderId="8" xfId="0" applyFont="1" applyFill="1" applyBorder="1" applyAlignment="1">
      <alignment horizontal="left" vertical="center"/>
    </xf>
    <xf numFmtId="0" fontId="11" fillId="0" borderId="8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166" fontId="13" fillId="0" borderId="5" xfId="0" applyNumberFormat="1" applyFont="1" applyBorder="1" applyAlignment="1">
      <alignment horizontal="center" vertical="center"/>
    </xf>
    <xf numFmtId="166" fontId="14" fillId="0" borderId="5" xfId="0" applyNumberFormat="1" applyFont="1" applyBorder="1" applyAlignment="1">
      <alignment horizontal="center" vertical="center"/>
    </xf>
    <xf numFmtId="167" fontId="11" fillId="0" borderId="5" xfId="0" applyNumberFormat="1" applyFont="1" applyBorder="1" applyAlignment="1">
      <alignment horizontal="center" vertical="center"/>
    </xf>
    <xf numFmtId="170" fontId="15" fillId="0" borderId="5" xfId="0" applyNumberFormat="1" applyFont="1" applyBorder="1" applyAlignment="1">
      <alignment horizontal="center" vertical="center"/>
    </xf>
    <xf numFmtId="164" fontId="11" fillId="0" borderId="0" xfId="0" applyNumberFormat="1" applyFont="1" applyBorder="1" applyAlignment="1">
      <alignment vertical="center"/>
    </xf>
    <xf numFmtId="167" fontId="13" fillId="8" borderId="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9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/>
    </xf>
    <xf numFmtId="0" fontId="13" fillId="6" borderId="5" xfId="0" applyFont="1" applyFill="1" applyBorder="1" applyAlignment="1">
      <alignment horizontal="center" vertical="center" wrapText="1"/>
    </xf>
    <xf numFmtId="165" fontId="11" fillId="0" borderId="0" xfId="0" applyNumberFormat="1" applyFont="1" applyBorder="1" applyAlignment="1">
      <alignment horizontal="center" vertical="center"/>
    </xf>
    <xf numFmtId="164" fontId="11" fillId="0" borderId="0" xfId="0" applyNumberFormat="1" applyFont="1" applyBorder="1" applyAlignment="1">
      <alignment horizontal="center" vertical="top"/>
    </xf>
    <xf numFmtId="0" fontId="11" fillId="0" borderId="0" xfId="0" applyFont="1" applyBorder="1" applyAlignment="1">
      <alignment vertical="top"/>
    </xf>
    <xf numFmtId="168" fontId="15" fillId="0" borderId="5" xfId="0" applyNumberFormat="1" applyFont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 wrapText="1"/>
    </xf>
    <xf numFmtId="174" fontId="13" fillId="0" borderId="5" xfId="0" applyNumberFormat="1" applyFont="1" applyBorder="1" applyAlignment="1">
      <alignment horizontal="center" vertical="center"/>
    </xf>
    <xf numFmtId="177" fontId="11" fillId="0" borderId="8" xfId="0" applyNumberFormat="1" applyFont="1" applyBorder="1" applyAlignment="1">
      <alignment vertical="center"/>
    </xf>
    <xf numFmtId="1" fontId="11" fillId="0" borderId="0" xfId="0" applyNumberFormat="1" applyFont="1"/>
    <xf numFmtId="178" fontId="15" fillId="0" borderId="5" xfId="0" applyNumberFormat="1" applyFont="1" applyBorder="1" applyAlignment="1">
      <alignment horizontal="center" vertical="center"/>
    </xf>
    <xf numFmtId="179" fontId="11" fillId="0" borderId="5" xfId="0" applyNumberFormat="1" applyFont="1" applyFill="1" applyBorder="1" applyAlignment="1">
      <alignment horizontal="center" vertical="center"/>
    </xf>
    <xf numFmtId="179" fontId="11" fillId="0" borderId="5" xfId="0" applyNumberFormat="1" applyFont="1" applyBorder="1" applyAlignment="1">
      <alignment horizontal="center" vertical="center"/>
    </xf>
    <xf numFmtId="180" fontId="11" fillId="2" borderId="5" xfId="0" applyNumberFormat="1" applyFont="1" applyFill="1" applyBorder="1" applyAlignment="1">
      <alignment horizontal="center" vertical="center"/>
    </xf>
    <xf numFmtId="179" fontId="12" fillId="0" borderId="10" xfId="0" applyNumberFormat="1" applyFont="1" applyBorder="1" applyAlignment="1">
      <alignment horizontal="center" vertical="center"/>
    </xf>
    <xf numFmtId="181" fontId="11" fillId="2" borderId="5" xfId="0" applyNumberFormat="1" applyFont="1" applyFill="1" applyBorder="1" applyAlignment="1">
      <alignment horizontal="center" vertical="center"/>
    </xf>
    <xf numFmtId="0" fontId="11" fillId="0" borderId="0" xfId="0" quotePrefix="1" applyFont="1"/>
    <xf numFmtId="167" fontId="11" fillId="7" borderId="5" xfId="0" applyNumberFormat="1" applyFont="1" applyFill="1" applyBorder="1" applyAlignment="1">
      <alignment horizontal="center" vertical="center"/>
    </xf>
    <xf numFmtId="167" fontId="11" fillId="0" borderId="5" xfId="0" applyNumberFormat="1" applyFont="1" applyFill="1" applyBorder="1" applyAlignment="1">
      <alignment horizontal="center" vertical="center"/>
    </xf>
    <xf numFmtId="182" fontId="11" fillId="7" borderId="5" xfId="0" applyNumberFormat="1" applyFont="1" applyFill="1" applyBorder="1" applyAlignment="1">
      <alignment horizontal="center" vertical="center"/>
    </xf>
    <xf numFmtId="183" fontId="11" fillId="0" borderId="0" xfId="0" applyNumberFormat="1" applyFont="1" applyBorder="1" applyAlignment="1">
      <alignment vertical="center"/>
    </xf>
    <xf numFmtId="184" fontId="13" fillId="0" borderId="5" xfId="0" applyNumberFormat="1" applyFont="1" applyBorder="1" applyAlignment="1">
      <alignment horizontal="center" vertical="center"/>
    </xf>
    <xf numFmtId="184" fontId="11" fillId="7" borderId="5" xfId="0" applyNumberFormat="1" applyFont="1" applyFill="1" applyBorder="1" applyAlignment="1">
      <alignment horizontal="center" vertical="center"/>
    </xf>
    <xf numFmtId="184" fontId="14" fillId="0" borderId="5" xfId="0" applyNumberFormat="1" applyFont="1" applyFill="1" applyBorder="1" applyAlignment="1">
      <alignment horizontal="center" vertical="center"/>
    </xf>
    <xf numFmtId="182" fontId="14" fillId="0" borderId="5" xfId="0" applyNumberFormat="1" applyFont="1" applyFill="1" applyBorder="1" applyAlignment="1">
      <alignment horizontal="center" vertical="center"/>
    </xf>
    <xf numFmtId="9" fontId="13" fillId="0" borderId="5" xfId="0" applyNumberFormat="1" applyFont="1" applyBorder="1" applyAlignment="1">
      <alignment horizontal="center" vertical="center"/>
    </xf>
    <xf numFmtId="0" fontId="13" fillId="9" borderId="5" xfId="0" applyFont="1" applyFill="1" applyBorder="1" applyAlignment="1">
      <alignment horizontal="center" vertical="center" wrapText="1"/>
    </xf>
    <xf numFmtId="182" fontId="11" fillId="8" borderId="5" xfId="0" applyNumberFormat="1" applyFont="1" applyFill="1" applyBorder="1" applyAlignment="1">
      <alignment horizontal="center" vertical="center"/>
    </xf>
    <xf numFmtId="185" fontId="11" fillId="2" borderId="5" xfId="0" applyNumberFormat="1" applyFont="1" applyFill="1" applyBorder="1" applyAlignment="1">
      <alignment horizontal="center" vertical="center"/>
    </xf>
    <xf numFmtId="185" fontId="11" fillId="0" borderId="5" xfId="0" applyNumberFormat="1" applyFont="1" applyFill="1" applyBorder="1" applyAlignment="1">
      <alignment horizontal="center" vertical="center"/>
    </xf>
    <xf numFmtId="0" fontId="11" fillId="2" borderId="5" xfId="0" applyNumberFormat="1" applyFont="1" applyFill="1" applyBorder="1" applyAlignment="1">
      <alignment horizontal="center" vertical="center"/>
    </xf>
    <xf numFmtId="186" fontId="11" fillId="2" borderId="5" xfId="0" applyNumberFormat="1" applyFont="1" applyFill="1" applyBorder="1" applyAlignment="1">
      <alignment horizontal="center" vertical="center"/>
    </xf>
    <xf numFmtId="187" fontId="11" fillId="2" borderId="5" xfId="0" applyNumberFormat="1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1" fillId="11" borderId="5" xfId="0" applyFont="1" applyFill="1" applyBorder="1" applyAlignment="1">
      <alignment horizontal="center" vertical="center" wrapText="1"/>
    </xf>
    <xf numFmtId="187" fontId="11" fillId="0" borderId="5" xfId="0" applyNumberFormat="1" applyFont="1" applyFill="1" applyBorder="1" applyAlignment="1">
      <alignment horizontal="center" vertical="center"/>
    </xf>
    <xf numFmtId="188" fontId="11" fillId="0" borderId="5" xfId="0" applyNumberFormat="1" applyFont="1" applyFill="1" applyBorder="1" applyAlignment="1">
      <alignment horizontal="center" vertical="center"/>
    </xf>
    <xf numFmtId="184" fontId="11" fillId="0" borderId="5" xfId="0" applyNumberFormat="1" applyFont="1" applyFill="1" applyBorder="1" applyAlignment="1">
      <alignment horizontal="center" vertical="center"/>
    </xf>
    <xf numFmtId="182" fontId="11" fillId="0" borderId="5" xfId="0" applyNumberFormat="1" applyFont="1" applyFill="1" applyBorder="1" applyAlignment="1">
      <alignment horizontal="center" vertical="center"/>
    </xf>
    <xf numFmtId="189" fontId="11" fillId="2" borderId="5" xfId="0" applyNumberFormat="1" applyFont="1" applyFill="1" applyBorder="1" applyAlignment="1">
      <alignment horizontal="center" vertical="center"/>
    </xf>
    <xf numFmtId="189" fontId="11" fillId="0" borderId="5" xfId="0" applyNumberFormat="1" applyFont="1" applyFill="1" applyBorder="1" applyAlignment="1">
      <alignment horizontal="center" vertical="center"/>
    </xf>
    <xf numFmtId="190" fontId="13" fillId="0" borderId="5" xfId="0" applyNumberFormat="1" applyFont="1" applyFill="1" applyBorder="1" applyAlignment="1">
      <alignment horizontal="center" vertical="center"/>
    </xf>
    <xf numFmtId="191" fontId="14" fillId="0" borderId="5" xfId="0" applyNumberFormat="1" applyFont="1" applyFill="1" applyBorder="1" applyAlignment="1">
      <alignment horizontal="center" vertical="center"/>
    </xf>
    <xf numFmtId="192" fontId="11" fillId="0" borderId="0" xfId="0" applyNumberFormat="1" applyFont="1"/>
    <xf numFmtId="193" fontId="11" fillId="2" borderId="5" xfId="0" applyNumberFormat="1" applyFont="1" applyFill="1" applyBorder="1" applyAlignment="1">
      <alignment horizontal="center" vertical="center"/>
    </xf>
    <xf numFmtId="194" fontId="11" fillId="0" borderId="5" xfId="0" applyNumberFormat="1" applyFont="1" applyFill="1" applyBorder="1" applyAlignment="1">
      <alignment horizontal="center" vertical="center"/>
    </xf>
    <xf numFmtId="195" fontId="11" fillId="0" borderId="5" xfId="0" applyNumberFormat="1" applyFont="1" applyFill="1" applyBorder="1" applyAlignment="1">
      <alignment horizontal="center" vertical="center"/>
    </xf>
    <xf numFmtId="9" fontId="13" fillId="0" borderId="5" xfId="0" applyNumberFormat="1" applyFont="1" applyFill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177" fontId="14" fillId="0" borderId="5" xfId="0" applyNumberFormat="1" applyFont="1" applyFill="1" applyBorder="1" applyAlignment="1">
      <alignment horizontal="center" vertical="center"/>
    </xf>
    <xf numFmtId="196" fontId="14" fillId="0" borderId="5" xfId="0" applyNumberFormat="1" applyFont="1" applyBorder="1" applyAlignment="1">
      <alignment horizontal="center" vertical="center"/>
    </xf>
    <xf numFmtId="197" fontId="11" fillId="2" borderId="5" xfId="0" applyNumberFormat="1" applyFont="1" applyFill="1" applyBorder="1" applyAlignment="1">
      <alignment horizontal="center" vertical="center"/>
    </xf>
    <xf numFmtId="198" fontId="13" fillId="0" borderId="5" xfId="0" applyNumberFormat="1" applyFont="1" applyFill="1" applyBorder="1" applyAlignment="1">
      <alignment horizontal="center" vertical="center"/>
    </xf>
    <xf numFmtId="198" fontId="11" fillId="0" borderId="5" xfId="0" applyNumberFormat="1" applyFont="1" applyFill="1" applyBorder="1" applyAlignment="1">
      <alignment horizontal="center" vertical="center"/>
    </xf>
    <xf numFmtId="187" fontId="11" fillId="0" borderId="0" xfId="0" applyNumberFormat="1" applyFont="1"/>
  </cellXfs>
  <cellStyles count="117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 tint="0.499984740745262"/>
  </sheetPr>
  <dimension ref="A1:J52"/>
  <sheetViews>
    <sheetView workbookViewId="0">
      <selection activeCell="B8" sqref="B8"/>
    </sheetView>
  </sheetViews>
  <sheetFormatPr baseColWidth="10" defaultColWidth="11" defaultRowHeight="12" x14ac:dyDescent="0"/>
  <cols>
    <col min="1" max="1" width="3.5" style="45" customWidth="1"/>
    <col min="2" max="2" width="30.6640625" style="53" customWidth="1"/>
    <col min="3" max="16384" width="11" style="45"/>
  </cols>
  <sheetData>
    <row r="1" spans="1:10" ht="26" customHeight="1">
      <c r="A1" s="43"/>
      <c r="B1" s="56" t="s">
        <v>59</v>
      </c>
      <c r="C1" s="43"/>
      <c r="D1" s="43"/>
      <c r="E1" s="43"/>
      <c r="F1" s="43"/>
      <c r="G1" s="43"/>
      <c r="H1" s="44"/>
      <c r="I1" s="44"/>
    </row>
    <row r="2" spans="1:10" ht="36">
      <c r="A2" s="46"/>
      <c r="B2" s="47"/>
      <c r="C2" s="46" t="s">
        <v>0</v>
      </c>
      <c r="D2" s="46" t="s">
        <v>61</v>
      </c>
      <c r="E2" s="46" t="s">
        <v>2</v>
      </c>
      <c r="F2" s="46" t="s">
        <v>3</v>
      </c>
      <c r="G2" s="46" t="s">
        <v>12</v>
      </c>
      <c r="H2" s="48"/>
      <c r="I2" s="48"/>
    </row>
    <row r="3" spans="1:10">
      <c r="A3" s="43"/>
      <c r="B3" s="39" t="s">
        <v>4</v>
      </c>
      <c r="C3" s="57">
        <v>5310</v>
      </c>
      <c r="D3" s="24">
        <v>2.4300000000000002</v>
      </c>
      <c r="E3" s="24">
        <v>133</v>
      </c>
      <c r="F3" s="24">
        <v>2.7</v>
      </c>
      <c r="G3" s="49">
        <f>C3/2*(1/60*2*PI())*D3/2</f>
        <v>337.80760405887645</v>
      </c>
      <c r="H3" s="44"/>
      <c r="I3" s="44"/>
    </row>
    <row r="4" spans="1:10">
      <c r="A4" s="43"/>
      <c r="B4" s="39" t="s">
        <v>14</v>
      </c>
      <c r="C4" s="58">
        <v>6200</v>
      </c>
      <c r="D4" s="50">
        <v>1.4</v>
      </c>
      <c r="E4" s="50">
        <v>86</v>
      </c>
      <c r="F4" s="50">
        <v>1.5</v>
      </c>
      <c r="G4" s="49">
        <f t="shared" ref="G4" si="0">C4/2*(1/60*2*PI())*D4/2</f>
        <v>227.24186860966165</v>
      </c>
      <c r="H4" s="44"/>
      <c r="I4" s="44"/>
    </row>
    <row r="5" spans="1:10">
      <c r="A5" s="43"/>
      <c r="B5" s="39" t="s">
        <v>35</v>
      </c>
      <c r="C5" s="58">
        <v>14000</v>
      </c>
      <c r="D5" s="50">
        <v>0.4</v>
      </c>
      <c r="E5" s="50">
        <v>41</v>
      </c>
      <c r="F5" s="50">
        <v>1.8</v>
      </c>
      <c r="G5" s="49">
        <f t="shared" ref="G5" si="1">C5/2*(1/60*2*PI())*D5/2</f>
        <v>146.60765716752368</v>
      </c>
      <c r="H5" s="44"/>
      <c r="I5" s="44"/>
    </row>
    <row r="6" spans="1:10">
      <c r="A6" s="43"/>
      <c r="B6" s="39" t="s">
        <v>60</v>
      </c>
      <c r="C6" s="58">
        <v>133</v>
      </c>
      <c r="D6" s="50">
        <v>38</v>
      </c>
      <c r="E6" s="50">
        <v>41</v>
      </c>
      <c r="F6" s="50">
        <v>1.8</v>
      </c>
      <c r="G6" s="49">
        <f t="shared" ref="G6" si="2">C6/2*(1/60*2*PI())*D6/2</f>
        <v>132.31341059369012</v>
      </c>
      <c r="H6" s="44"/>
      <c r="I6" s="44"/>
    </row>
    <row r="7" spans="1:10">
      <c r="A7" s="43"/>
      <c r="B7" s="39"/>
      <c r="C7" s="59"/>
      <c r="D7" s="51"/>
      <c r="E7" s="51"/>
      <c r="F7" s="51"/>
      <c r="G7" s="43"/>
      <c r="H7" s="44"/>
      <c r="I7" s="44"/>
      <c r="J7" s="44"/>
    </row>
    <row r="8" spans="1:10">
      <c r="A8" s="43"/>
      <c r="B8" s="39" t="s">
        <v>34</v>
      </c>
      <c r="C8" s="57">
        <v>13000</v>
      </c>
      <c r="D8" s="24">
        <v>0.78333333333333333</v>
      </c>
      <c r="E8" s="24">
        <v>86.666666666666657</v>
      </c>
      <c r="F8" s="24">
        <v>1.8</v>
      </c>
      <c r="G8" s="49">
        <f t="shared" ref="G8:G50" si="3">C8/2*(1/60*2*PI())*D8/2</f>
        <v>266.5990432421338</v>
      </c>
      <c r="H8" s="25"/>
      <c r="I8" s="44"/>
    </row>
    <row r="9" spans="1:10">
      <c r="A9" s="43"/>
      <c r="B9" s="39" t="s">
        <v>36</v>
      </c>
      <c r="C9" s="57">
        <v>7300</v>
      </c>
      <c r="D9" s="40">
        <v>0.43149999999999999</v>
      </c>
      <c r="E9" s="40">
        <v>30</v>
      </c>
      <c r="F9" s="40">
        <v>1.1000000000000001</v>
      </c>
      <c r="G9" s="49">
        <f t="shared" si="3"/>
        <v>82.465498159793071</v>
      </c>
      <c r="H9" s="25"/>
      <c r="I9" s="44"/>
    </row>
    <row r="10" spans="1:10">
      <c r="A10" s="43"/>
      <c r="B10" s="39" t="s">
        <v>62</v>
      </c>
      <c r="C10" s="57">
        <v>7750</v>
      </c>
      <c r="D10" s="24">
        <v>0.20591485145027999</v>
      </c>
      <c r="E10" s="24">
        <v>0.4</v>
      </c>
      <c r="F10" s="24">
        <v>15</v>
      </c>
      <c r="G10" s="49">
        <f t="shared" ref="G10" si="4">C10/2*(1/60*2*PI())*D10/2</f>
        <v>41.778996087537976</v>
      </c>
      <c r="H10" s="44"/>
      <c r="I10" s="44"/>
    </row>
    <row r="11" spans="1:10">
      <c r="A11" s="43"/>
      <c r="B11" s="39" t="s">
        <v>13</v>
      </c>
      <c r="C11" s="57">
        <v>19300</v>
      </c>
      <c r="D11" s="24">
        <v>0.48620000000000002</v>
      </c>
      <c r="E11" s="24">
        <v>85</v>
      </c>
      <c r="F11" s="24">
        <v>1.4</v>
      </c>
      <c r="G11" s="49">
        <f t="shared" si="3"/>
        <v>245.66364433153666</v>
      </c>
      <c r="H11" s="44"/>
      <c r="I11" s="44"/>
    </row>
    <row r="12" spans="1:10">
      <c r="A12" s="43"/>
      <c r="B12" s="39" t="s">
        <v>37</v>
      </c>
      <c r="C12" s="60">
        <v>16800</v>
      </c>
      <c r="D12" s="40">
        <v>0.16669999999999999</v>
      </c>
      <c r="E12" s="40">
        <v>21</v>
      </c>
      <c r="F12" s="40">
        <v>0.9</v>
      </c>
      <c r="G12" s="49">
        <f t="shared" si="3"/>
        <v>73.318489349478583</v>
      </c>
      <c r="H12" s="44"/>
      <c r="I12" s="44"/>
    </row>
    <row r="13" spans="1:10">
      <c r="A13" s="43"/>
      <c r="B13" s="39" t="s">
        <v>38</v>
      </c>
      <c r="C13" s="60">
        <v>16800</v>
      </c>
      <c r="D13" s="40">
        <v>0.27879999999999999</v>
      </c>
      <c r="E13" s="40">
        <v>42</v>
      </c>
      <c r="F13" s="40">
        <v>1</v>
      </c>
      <c r="G13" s="49">
        <f t="shared" ref="G13:G15" si="5">C13/2*(1/60*2*PI())*D13/2</f>
        <v>122.6226444549168</v>
      </c>
      <c r="H13" s="44"/>
      <c r="I13" s="44"/>
    </row>
    <row r="14" spans="1:10">
      <c r="A14" s="43"/>
      <c r="B14" s="39" t="s">
        <v>40</v>
      </c>
      <c r="C14" s="60">
        <v>15500</v>
      </c>
      <c r="D14" s="40">
        <v>0.1178</v>
      </c>
      <c r="E14" s="40">
        <v>15</v>
      </c>
      <c r="F14" s="40">
        <v>0.5</v>
      </c>
      <c r="G14" s="49">
        <f t="shared" si="5"/>
        <v>47.801950218246695</v>
      </c>
      <c r="H14" s="44"/>
      <c r="I14" s="44"/>
    </row>
    <row r="15" spans="1:10">
      <c r="A15" s="43"/>
      <c r="B15" s="39" t="s">
        <v>41</v>
      </c>
      <c r="C15" s="60">
        <v>12180</v>
      </c>
      <c r="D15" s="40">
        <v>0.1331</v>
      </c>
      <c r="E15" s="40">
        <v>14.5</v>
      </c>
      <c r="F15" s="40">
        <v>0.3</v>
      </c>
      <c r="G15" s="49">
        <f t="shared" si="5"/>
        <v>42.441817192569346</v>
      </c>
      <c r="H15" s="44"/>
      <c r="I15" s="44"/>
    </row>
    <row r="16" spans="1:10">
      <c r="A16" s="43"/>
      <c r="B16" s="39"/>
      <c r="C16" s="61"/>
      <c r="D16" s="42"/>
      <c r="E16" s="42"/>
      <c r="F16" s="42"/>
      <c r="G16" s="43"/>
      <c r="H16" s="44"/>
      <c r="I16" s="44"/>
    </row>
    <row r="17" spans="1:9">
      <c r="A17" s="43"/>
      <c r="B17" s="39" t="s">
        <v>47</v>
      </c>
      <c r="C17" s="60">
        <f>75*71</f>
        <v>5325</v>
      </c>
      <c r="D17" s="54">
        <f>22.5/71*1.006</f>
        <v>0.31880281690140849</v>
      </c>
      <c r="E17" s="40">
        <v>22</v>
      </c>
      <c r="F17" s="40">
        <v>0.6</v>
      </c>
      <c r="G17" s="49">
        <f t="shared" ref="G17:G18" si="6">C17/2*(1/60*2*PI())*D17/2</f>
        <v>44.443718571253108</v>
      </c>
      <c r="H17" s="44"/>
      <c r="I17" s="44"/>
    </row>
    <row r="18" spans="1:9">
      <c r="A18" s="43"/>
      <c r="B18" s="39" t="s">
        <v>48</v>
      </c>
      <c r="C18" s="60">
        <v>198</v>
      </c>
      <c r="D18" s="54">
        <v>8.5410000000000004</v>
      </c>
      <c r="E18" s="40">
        <v>22</v>
      </c>
      <c r="F18" s="40">
        <v>0.6</v>
      </c>
      <c r="G18" s="49">
        <f t="shared" si="6"/>
        <v>44.2733657096122</v>
      </c>
      <c r="H18" s="44"/>
      <c r="I18" s="44"/>
    </row>
    <row r="19" spans="1:9">
      <c r="A19" s="43"/>
      <c r="B19" s="39" t="s">
        <v>46</v>
      </c>
      <c r="C19" s="60">
        <f>75</f>
        <v>75</v>
      </c>
      <c r="D19" s="54">
        <f>22.5</f>
        <v>22.5</v>
      </c>
      <c r="E19" s="40">
        <v>22</v>
      </c>
      <c r="F19" s="40">
        <v>0.6</v>
      </c>
      <c r="G19" s="49">
        <f t="shared" ref="G19" si="7">C19/2*(1/60*2*PI())*D19/2</f>
        <v>44.178646691106465</v>
      </c>
      <c r="H19" s="44"/>
      <c r="I19" s="44"/>
    </row>
    <row r="20" spans="1:9">
      <c r="A20" s="43"/>
      <c r="B20" s="39" t="s">
        <v>49</v>
      </c>
      <c r="C20" s="60">
        <v>28</v>
      </c>
      <c r="D20" s="54">
        <v>44.74</v>
      </c>
      <c r="E20" s="40">
        <v>22</v>
      </c>
      <c r="F20" s="40">
        <v>0.6</v>
      </c>
      <c r="G20" s="49">
        <f t="shared" ref="G20" si="8">C20/2*(1/60*2*PI())*D20/2</f>
        <v>32.796132908375043</v>
      </c>
      <c r="H20" s="44"/>
      <c r="I20" s="44"/>
    </row>
    <row r="21" spans="1:9">
      <c r="A21" s="43"/>
      <c r="B21" s="39" t="s">
        <v>39</v>
      </c>
      <c r="C21" s="60">
        <v>16000</v>
      </c>
      <c r="D21" s="40">
        <v>0.42799999999999999</v>
      </c>
      <c r="E21" s="40">
        <v>63.8</v>
      </c>
      <c r="F21" s="40">
        <v>1.2</v>
      </c>
      <c r="G21" s="49">
        <f>C21/2*(1/60*2*PI())*D21/2</f>
        <v>179.28022076485752</v>
      </c>
      <c r="H21" s="44"/>
      <c r="I21" s="44"/>
    </row>
    <row r="22" spans="1:9">
      <c r="A22" s="43"/>
      <c r="B22" s="39"/>
      <c r="C22" s="61"/>
      <c r="D22" s="42"/>
      <c r="E22" s="42"/>
      <c r="F22" s="42"/>
      <c r="G22" s="43"/>
      <c r="H22" s="44"/>
      <c r="I22" s="44"/>
    </row>
    <row r="23" spans="1:9">
      <c r="A23" s="43"/>
      <c r="B23" s="39" t="s">
        <v>53</v>
      </c>
      <c r="C23" s="60">
        <v>20770</v>
      </c>
      <c r="D23" s="40">
        <v>0.53239999999999998</v>
      </c>
      <c r="E23" s="40">
        <v>108.7</v>
      </c>
      <c r="F23" s="40">
        <v>0.82</v>
      </c>
      <c r="G23" s="49">
        <f>C23/2*(1/60*2*PI())*D23/2</f>
        <v>289.49640167148283</v>
      </c>
      <c r="H23" s="44"/>
      <c r="I23" s="44"/>
    </row>
    <row r="24" spans="1:9">
      <c r="A24" s="43"/>
      <c r="B24" s="39" t="s">
        <v>54</v>
      </c>
      <c r="C24" s="60">
        <v>16100</v>
      </c>
      <c r="D24" s="40">
        <v>0.40600000000000003</v>
      </c>
      <c r="E24" s="40">
        <v>63</v>
      </c>
      <c r="F24" s="40">
        <v>2</v>
      </c>
      <c r="G24" s="49">
        <f t="shared" ref="G24:G25" si="9">C24/2*(1/60*2*PI())*D24/2</f>
        <v>171.12778782879201</v>
      </c>
      <c r="H24" s="44"/>
      <c r="I24" s="44"/>
    </row>
    <row r="25" spans="1:9">
      <c r="A25" s="43"/>
      <c r="B25" s="39" t="s">
        <v>55</v>
      </c>
      <c r="C25" s="60">
        <v>15600</v>
      </c>
      <c r="D25" s="40">
        <v>0.44982</v>
      </c>
      <c r="E25" s="40">
        <v>70</v>
      </c>
      <c r="F25" s="40">
        <v>1.25</v>
      </c>
      <c r="G25" s="49">
        <f t="shared" si="9"/>
        <v>183.70965696690888</v>
      </c>
      <c r="H25" s="44"/>
      <c r="I25" s="44"/>
    </row>
    <row r="26" spans="1:9">
      <c r="A26" s="43"/>
      <c r="B26" s="39" t="s">
        <v>56</v>
      </c>
      <c r="C26" s="60">
        <v>15600</v>
      </c>
      <c r="D26" s="40">
        <v>0.42015999999999998</v>
      </c>
      <c r="E26" s="40">
        <v>63.5</v>
      </c>
      <c r="F26" s="40">
        <v>1</v>
      </c>
      <c r="G26" s="49">
        <f>C26/2*(1/60*2*PI())*D26/2</f>
        <v>171.59630401319734</v>
      </c>
      <c r="H26" s="44"/>
      <c r="I26" s="44"/>
    </row>
    <row r="27" spans="1:9">
      <c r="A27" s="43"/>
      <c r="B27" s="39" t="s">
        <v>57</v>
      </c>
      <c r="C27" s="60">
        <v>16700</v>
      </c>
      <c r="D27" s="40">
        <v>0.475242</v>
      </c>
      <c r="E27" s="40">
        <v>75</v>
      </c>
      <c r="F27" s="40">
        <v>2</v>
      </c>
      <c r="G27" s="49">
        <f>C27/2*(1/60*2*PI())*D27/2</f>
        <v>207.77816797626042</v>
      </c>
      <c r="H27" s="44"/>
      <c r="I27" s="44"/>
    </row>
    <row r="28" spans="1:9">
      <c r="A28" s="43"/>
      <c r="B28" s="39"/>
      <c r="C28" s="61"/>
      <c r="D28" s="42"/>
      <c r="E28" s="42"/>
      <c r="F28" s="42"/>
      <c r="G28" s="43"/>
      <c r="H28" s="44"/>
      <c r="I28" s="44"/>
    </row>
    <row r="29" spans="1:9" ht="24">
      <c r="A29" s="43"/>
      <c r="B29" s="39" t="s">
        <v>50</v>
      </c>
      <c r="C29" s="60">
        <v>84</v>
      </c>
      <c r="D29" s="40">
        <v>10.6</v>
      </c>
      <c r="E29" s="40">
        <v>18.600000000000001</v>
      </c>
      <c r="F29" s="40">
        <v>1.8</v>
      </c>
      <c r="G29" s="49">
        <f t="shared" ref="G29:G31" si="10">C29/2*(1/60*2*PI())*D29/2</f>
        <v>23.310617489636265</v>
      </c>
      <c r="H29" s="44"/>
      <c r="I29" s="44"/>
    </row>
    <row r="30" spans="1:9" ht="24">
      <c r="A30" s="43"/>
      <c r="B30" s="39" t="s">
        <v>51</v>
      </c>
      <c r="C30" s="60">
        <v>84</v>
      </c>
      <c r="D30" s="40">
        <v>10.6</v>
      </c>
      <c r="E30" s="40">
        <v>21</v>
      </c>
      <c r="F30" s="40">
        <v>1.8</v>
      </c>
      <c r="G30" s="49">
        <f t="shared" si="10"/>
        <v>23.310617489636265</v>
      </c>
      <c r="H30" s="44"/>
      <c r="I30" s="44"/>
    </row>
    <row r="31" spans="1:9" ht="28">
      <c r="A31" s="43"/>
      <c r="B31" s="39" t="s">
        <v>58</v>
      </c>
      <c r="C31" s="60">
        <v>92</v>
      </c>
      <c r="D31" s="40">
        <v>9.1940000000000008</v>
      </c>
      <c r="E31" s="40">
        <v>20</v>
      </c>
      <c r="F31" s="40">
        <v>0.5</v>
      </c>
      <c r="G31" s="49">
        <f t="shared" si="10"/>
        <v>22.144248857113496</v>
      </c>
      <c r="H31" s="44"/>
      <c r="I31" s="44"/>
    </row>
    <row r="32" spans="1:9" ht="24">
      <c r="A32" s="43"/>
      <c r="B32" s="39" t="s">
        <v>43</v>
      </c>
      <c r="C32" s="60">
        <v>70</v>
      </c>
      <c r="D32" s="55">
        <v>13.275700000000001</v>
      </c>
      <c r="E32" s="40">
        <v>20</v>
      </c>
      <c r="F32" s="40">
        <v>0.5</v>
      </c>
      <c r="G32" s="49">
        <f t="shared" ref="G32" si="11">C32/2*(1/60*2*PI())*D32/2</f>
        <v>24.328990928236177</v>
      </c>
      <c r="H32" s="44"/>
      <c r="I32" s="44"/>
    </row>
    <row r="33" spans="1:9">
      <c r="A33" s="43"/>
      <c r="B33" s="39" t="s">
        <v>42</v>
      </c>
      <c r="C33" s="60">
        <v>100</v>
      </c>
      <c r="D33" s="40">
        <v>11.298</v>
      </c>
      <c r="E33" s="40">
        <v>24</v>
      </c>
      <c r="F33" s="40">
        <v>5</v>
      </c>
      <c r="G33" s="49">
        <f t="shared" ref="G33" si="12">C33/2*(1/60*2*PI())*D33/2</f>
        <v>29.578094833547897</v>
      </c>
      <c r="H33" s="44"/>
      <c r="I33" s="44"/>
    </row>
    <row r="34" spans="1:9" ht="26">
      <c r="A34" s="43"/>
      <c r="B34" s="39" t="s">
        <v>52</v>
      </c>
      <c r="C34" s="60">
        <v>5300</v>
      </c>
      <c r="D34" s="40">
        <v>0.127</v>
      </c>
      <c r="E34" s="40">
        <v>7</v>
      </c>
      <c r="F34" s="40">
        <v>0.4</v>
      </c>
      <c r="G34" s="49">
        <f>C34/2*(1/60*2*PI())*D34/2</f>
        <v>17.621716792760747</v>
      </c>
      <c r="H34" s="44"/>
      <c r="I34" s="44"/>
    </row>
    <row r="35" spans="1:9">
      <c r="A35" s="43"/>
      <c r="B35" s="39"/>
      <c r="C35" s="61"/>
      <c r="D35" s="42"/>
      <c r="E35" s="42"/>
      <c r="F35" s="42"/>
      <c r="G35" s="43"/>
      <c r="H35" s="44"/>
      <c r="I35" s="44"/>
    </row>
    <row r="36" spans="1:9">
      <c r="A36" s="43"/>
      <c r="B36" s="39" t="s">
        <v>44</v>
      </c>
      <c r="C36" s="60">
        <f>100*(12/7.2)</f>
        <v>166.66666666666666</v>
      </c>
      <c r="D36" s="24">
        <f>1.67*(12/7.2)</f>
        <v>2.7833333333333328</v>
      </c>
      <c r="E36" s="24">
        <f>4.8*(12/7.2)</f>
        <v>7.9999999999999991</v>
      </c>
      <c r="F36" s="24">
        <f>0.37*(12/7.2)</f>
        <v>0.61666666666666659</v>
      </c>
      <c r="G36" s="49">
        <f>C36/2*(1/60*2*PI())*D36/2</f>
        <v>12.144582711793872</v>
      </c>
      <c r="H36" s="44"/>
      <c r="I36" s="44"/>
    </row>
    <row r="37" spans="1:9">
      <c r="A37" s="43"/>
      <c r="B37" s="39" t="s">
        <v>45</v>
      </c>
      <c r="C37" s="60">
        <f>160*(12/7.2)</f>
        <v>266.66666666666663</v>
      </c>
      <c r="D37" s="24">
        <f>1.04*(12/7.2)</f>
        <v>1.7333333333333332</v>
      </c>
      <c r="E37" s="24">
        <f>4.8*(12/7.2)</f>
        <v>7.9999999999999991</v>
      </c>
      <c r="F37" s="24">
        <f>0.37*(12/7.2)</f>
        <v>0.61666666666666659</v>
      </c>
      <c r="G37" s="49">
        <f t="shared" ref="G37" si="13">C37/2*(1/60*2*PI())*D37/2</f>
        <v>12.100949480494014</v>
      </c>
      <c r="H37" s="44"/>
      <c r="I37" s="44"/>
    </row>
    <row r="38" spans="1:9">
      <c r="A38" s="43"/>
      <c r="B38" s="39"/>
      <c r="C38" s="41"/>
      <c r="D38" s="42"/>
      <c r="E38" s="42"/>
      <c r="F38" s="42"/>
      <c r="G38" s="43"/>
      <c r="H38" s="44"/>
      <c r="I38" s="44"/>
    </row>
    <row r="39" spans="1:9">
      <c r="A39" s="43"/>
      <c r="B39" s="39"/>
      <c r="C39" s="41"/>
      <c r="D39" s="42"/>
      <c r="E39" s="42"/>
      <c r="F39" s="42"/>
      <c r="G39" s="43"/>
      <c r="H39" s="44"/>
      <c r="I39" s="44"/>
    </row>
    <row r="40" spans="1:9">
      <c r="A40" s="43"/>
      <c r="B40" s="39"/>
      <c r="C40" s="41"/>
      <c r="D40" s="42"/>
      <c r="E40" s="42"/>
      <c r="F40" s="42"/>
      <c r="G40" s="43"/>
      <c r="H40" s="44"/>
      <c r="I40" s="44"/>
    </row>
    <row r="41" spans="1:9">
      <c r="A41" s="43"/>
      <c r="B41" s="39"/>
      <c r="C41" s="41"/>
      <c r="D41" s="42"/>
      <c r="E41" s="42"/>
      <c r="F41" s="42"/>
      <c r="G41" s="43"/>
      <c r="H41" s="44"/>
      <c r="I41" s="44"/>
    </row>
    <row r="42" spans="1:9">
      <c r="A42" s="43"/>
      <c r="B42" s="39"/>
      <c r="C42" s="41"/>
      <c r="D42" s="42"/>
      <c r="E42" s="42"/>
      <c r="F42" s="42"/>
      <c r="G42" s="43"/>
      <c r="H42" s="44"/>
      <c r="I42" s="44"/>
    </row>
    <row r="43" spans="1:9">
      <c r="A43" s="43"/>
      <c r="B43" s="39"/>
      <c r="C43" s="41"/>
      <c r="D43" s="42"/>
      <c r="E43" s="42"/>
      <c r="F43" s="42"/>
      <c r="G43" s="43"/>
      <c r="H43" s="44"/>
      <c r="I43" s="44"/>
    </row>
    <row r="44" spans="1:9">
      <c r="A44" s="43"/>
      <c r="B44" s="39"/>
      <c r="C44" s="41"/>
      <c r="D44" s="42"/>
      <c r="E44" s="42"/>
      <c r="F44" s="42"/>
      <c r="G44" s="43"/>
      <c r="H44" s="44"/>
      <c r="I44" s="44"/>
    </row>
    <row r="45" spans="1:9">
      <c r="A45" s="43"/>
      <c r="B45" s="39"/>
      <c r="C45" s="41"/>
      <c r="D45" s="42"/>
      <c r="E45" s="42"/>
      <c r="F45" s="42"/>
      <c r="G45" s="43"/>
      <c r="H45" s="44"/>
      <c r="I45" s="44"/>
    </row>
    <row r="46" spans="1:9">
      <c r="A46" s="43"/>
      <c r="B46" s="39"/>
      <c r="C46" s="41"/>
      <c r="D46" s="42"/>
      <c r="E46" s="42"/>
      <c r="F46" s="42"/>
      <c r="G46" s="43"/>
      <c r="H46" s="44"/>
      <c r="I46" s="44"/>
    </row>
    <row r="47" spans="1:9">
      <c r="A47" s="43"/>
      <c r="B47" s="39"/>
      <c r="C47" s="41"/>
      <c r="D47" s="42"/>
      <c r="E47" s="42"/>
      <c r="F47" s="42"/>
      <c r="G47" s="43"/>
      <c r="H47" s="44"/>
      <c r="I47" s="44"/>
    </row>
    <row r="48" spans="1:9">
      <c r="A48" s="43"/>
      <c r="B48" s="39"/>
      <c r="C48" s="26"/>
      <c r="D48" s="26"/>
      <c r="E48" s="26"/>
      <c r="F48" s="26"/>
      <c r="G48" s="43"/>
      <c r="H48" s="44"/>
      <c r="I48" s="44"/>
    </row>
    <row r="49" spans="1:9">
      <c r="A49" s="44"/>
      <c r="B49" s="39" t="s">
        <v>15</v>
      </c>
      <c r="C49" s="58">
        <v>5310</v>
      </c>
      <c r="D49" s="50">
        <v>3.5</v>
      </c>
      <c r="E49" s="50">
        <v>203</v>
      </c>
      <c r="F49" s="50">
        <v>6.4</v>
      </c>
      <c r="G49" s="49">
        <f t="shared" si="3"/>
        <v>486.55416222471916</v>
      </c>
      <c r="H49" s="44"/>
      <c r="I49" s="44"/>
    </row>
    <row r="50" spans="1:9">
      <c r="A50" s="44"/>
      <c r="B50" s="39" t="s">
        <v>16</v>
      </c>
      <c r="C50" s="58">
        <v>5310</v>
      </c>
      <c r="D50" s="50">
        <v>3.85</v>
      </c>
      <c r="E50" s="50">
        <v>203</v>
      </c>
      <c r="F50" s="50">
        <v>6.4</v>
      </c>
      <c r="G50" s="49">
        <f t="shared" si="3"/>
        <v>535.20957844719112</v>
      </c>
      <c r="H50" s="44">
        <f>G3+G12</f>
        <v>411.12609340835502</v>
      </c>
      <c r="I50" s="44"/>
    </row>
    <row r="51" spans="1:9">
      <c r="A51" s="44"/>
      <c r="B51" s="39" t="s">
        <v>17</v>
      </c>
      <c r="C51" s="58">
        <v>5310</v>
      </c>
      <c r="D51" s="50">
        <v>4</v>
      </c>
      <c r="E51" s="50">
        <v>218</v>
      </c>
      <c r="F51" s="50">
        <v>4.0999999999999996</v>
      </c>
      <c r="G51" s="49">
        <f>C51/2*(1/60*2*PI())*D51/2</f>
        <v>556.06189968539331</v>
      </c>
      <c r="H51" s="44"/>
      <c r="I51" s="44"/>
    </row>
    <row r="52" spans="1:9">
      <c r="A52" s="44"/>
      <c r="B52" s="52"/>
      <c r="C52" s="44"/>
      <c r="D52" s="44"/>
      <c r="E52" s="44"/>
      <c r="F52" s="44"/>
      <c r="G52" s="44"/>
      <c r="H52" s="44"/>
      <c r="I52" s="4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5"/>
  </sheetPr>
  <dimension ref="A1:K19"/>
  <sheetViews>
    <sheetView workbookViewId="0">
      <selection activeCell="G9" sqref="G9"/>
    </sheetView>
  </sheetViews>
  <sheetFormatPr baseColWidth="10" defaultColWidth="10.83203125" defaultRowHeight="15" x14ac:dyDescent="0"/>
  <cols>
    <col min="1" max="1" width="5.83203125" style="27" customWidth="1"/>
    <col min="2" max="2" width="2.33203125" style="27" customWidth="1"/>
    <col min="3" max="3" width="11.6640625" style="27" customWidth="1"/>
    <col min="4" max="5" width="11.1640625" style="27" customWidth="1"/>
    <col min="6" max="6" width="10.83203125" style="27"/>
    <col min="7" max="7" width="11.83203125" style="27" bestFit="1" customWidth="1"/>
    <col min="8" max="8" width="11.83203125" style="27" customWidth="1"/>
    <col min="9" max="9" width="11.5" style="27" customWidth="1"/>
    <col min="10" max="10" width="2.83203125" style="27" customWidth="1"/>
    <col min="11" max="16384" width="10.83203125" style="27"/>
  </cols>
  <sheetData>
    <row r="1" spans="1:1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16" thickBot="1">
      <c r="A2" s="1"/>
      <c r="B2" s="28" t="s">
        <v>63</v>
      </c>
      <c r="C2" s="1"/>
      <c r="D2" s="1"/>
      <c r="E2" s="1"/>
      <c r="F2" s="1"/>
      <c r="G2" s="1"/>
      <c r="H2" s="1"/>
      <c r="I2" s="1"/>
      <c r="J2" s="1"/>
      <c r="K2" s="1"/>
    </row>
    <row r="3" spans="1:11">
      <c r="A3" s="1"/>
      <c r="B3" s="2"/>
      <c r="C3" s="29"/>
      <c r="D3" s="3"/>
      <c r="E3" s="3"/>
      <c r="F3" s="3"/>
      <c r="G3" s="3"/>
      <c r="H3" s="3"/>
      <c r="I3" s="3"/>
      <c r="J3" s="4"/>
      <c r="K3" s="1"/>
    </row>
    <row r="4" spans="1:11" ht="55" customHeight="1">
      <c r="A4" s="5"/>
      <c r="B4" s="6"/>
      <c r="C4" s="5"/>
      <c r="D4" s="7" t="s">
        <v>0</v>
      </c>
      <c r="E4" s="7" t="s">
        <v>1</v>
      </c>
      <c r="F4" s="7" t="s">
        <v>2</v>
      </c>
      <c r="G4" s="7" t="s">
        <v>3</v>
      </c>
      <c r="H4" s="7" t="s">
        <v>69</v>
      </c>
      <c r="I4" s="7" t="s">
        <v>67</v>
      </c>
      <c r="J4" s="8"/>
      <c r="K4" s="5"/>
    </row>
    <row r="5" spans="1:11">
      <c r="A5" s="9"/>
      <c r="B5" s="10"/>
      <c r="C5" s="11" t="s">
        <v>4</v>
      </c>
      <c r="D5" s="58">
        <v>14000</v>
      </c>
      <c r="E5" s="50">
        <v>0.4</v>
      </c>
      <c r="F5" s="50">
        <v>41</v>
      </c>
      <c r="G5" s="50">
        <v>1.8</v>
      </c>
      <c r="H5" s="18">
        <v>0.4</v>
      </c>
      <c r="I5" s="18">
        <v>1.4</v>
      </c>
      <c r="J5" s="13"/>
      <c r="K5" s="9"/>
    </row>
    <row r="6" spans="1:11">
      <c r="A6" s="1"/>
      <c r="B6" s="14"/>
      <c r="C6" s="15"/>
      <c r="D6" s="15"/>
      <c r="E6" s="15"/>
      <c r="F6" s="16"/>
      <c r="G6" s="16"/>
      <c r="H6" s="16"/>
      <c r="I6" s="1"/>
      <c r="J6" s="17"/>
      <c r="K6" s="1"/>
    </row>
    <row r="7" spans="1:11" ht="41" customHeight="1">
      <c r="A7" s="1"/>
      <c r="B7" s="14"/>
      <c r="C7" s="7" t="s">
        <v>19</v>
      </c>
      <c r="D7" s="7" t="s">
        <v>26</v>
      </c>
      <c r="E7" s="7" t="s">
        <v>64</v>
      </c>
      <c r="F7" s="7" t="s">
        <v>65</v>
      </c>
      <c r="G7" s="7" t="s">
        <v>70</v>
      </c>
      <c r="H7" s="7" t="s">
        <v>66</v>
      </c>
      <c r="I7" s="7" t="s">
        <v>68</v>
      </c>
      <c r="J7" s="17"/>
      <c r="K7" s="1"/>
    </row>
    <row r="8" spans="1:11">
      <c r="A8" s="1"/>
      <c r="B8" s="14"/>
      <c r="C8" s="18">
        <v>1</v>
      </c>
      <c r="D8" s="12">
        <v>0.65</v>
      </c>
      <c r="E8" s="18">
        <v>154</v>
      </c>
      <c r="F8" s="18">
        <v>4</v>
      </c>
      <c r="G8" s="62">
        <f>E8/F8*(I5+H5)</f>
        <v>69.3</v>
      </c>
      <c r="H8" s="18">
        <f>1.5</f>
        <v>1.5</v>
      </c>
      <c r="I8" s="62">
        <f>H8/4</f>
        <v>0.375</v>
      </c>
      <c r="J8" s="17"/>
      <c r="K8" s="1"/>
    </row>
    <row r="9" spans="1:11" ht="16" thickBot="1">
      <c r="A9" s="1"/>
      <c r="B9" s="19"/>
      <c r="C9" s="20"/>
      <c r="D9" s="20"/>
      <c r="E9" s="20"/>
      <c r="F9" s="21"/>
      <c r="G9" s="21"/>
      <c r="H9" s="21"/>
      <c r="I9" s="21"/>
      <c r="J9" s="22"/>
      <c r="K9" s="1"/>
    </row>
    <row r="10" spans="1:11">
      <c r="A10" s="1"/>
      <c r="B10" s="2"/>
      <c r="C10" s="29"/>
      <c r="D10" s="23"/>
      <c r="E10" s="23"/>
      <c r="F10" s="3"/>
      <c r="G10" s="3"/>
      <c r="H10" s="3"/>
      <c r="I10" s="3"/>
      <c r="J10" s="4"/>
      <c r="K10" s="1"/>
    </row>
    <row r="11" spans="1:11" ht="45">
      <c r="A11" s="5"/>
      <c r="B11" s="6"/>
      <c r="C11" s="30" t="s">
        <v>6</v>
      </c>
      <c r="D11" s="30" t="s">
        <v>7</v>
      </c>
      <c r="E11" s="1"/>
      <c r="F11" s="5"/>
      <c r="G11" s="31" t="s">
        <v>29</v>
      </c>
      <c r="H11" s="31" t="s">
        <v>30</v>
      </c>
      <c r="J11" s="8"/>
      <c r="K11" s="5"/>
    </row>
    <row r="12" spans="1:11">
      <c r="A12" s="9"/>
      <c r="B12" s="10"/>
      <c r="C12" s="18">
        <v>1</v>
      </c>
      <c r="D12" s="18">
        <v>30</v>
      </c>
      <c r="E12" s="1"/>
      <c r="F12" s="11" t="s">
        <v>27</v>
      </c>
      <c r="G12" s="36">
        <f>D$5*(C12*C13*C14*C15/D12/D13/D14/D15)*(360/60)</f>
        <v>2800</v>
      </c>
      <c r="H12" s="37">
        <f>90/G12</f>
        <v>3.214285714285714E-2</v>
      </c>
      <c r="J12" s="13"/>
      <c r="K12" s="9"/>
    </row>
    <row r="13" spans="1:11">
      <c r="A13" s="1"/>
      <c r="B13" s="14"/>
      <c r="C13" s="18">
        <v>1</v>
      </c>
      <c r="D13" s="18">
        <v>1</v>
      </c>
      <c r="E13" s="1"/>
      <c r="F13" s="11" t="s">
        <v>28</v>
      </c>
      <c r="G13" s="36">
        <f>((-1)*(G12/(H17))*(G$8))+(G12)</f>
        <v>1745.9378727134128</v>
      </c>
      <c r="H13" s="37">
        <f>90/G13</f>
        <v>5.1548225974460578E-2</v>
      </c>
      <c r="J13" s="17"/>
      <c r="K13" s="1"/>
    </row>
    <row r="14" spans="1:11">
      <c r="A14" s="1"/>
      <c r="B14" s="14"/>
      <c r="C14" s="18">
        <v>1</v>
      </c>
      <c r="D14" s="18">
        <v>1</v>
      </c>
      <c r="E14" s="1"/>
      <c r="F14" s="1"/>
      <c r="H14" s="1"/>
      <c r="J14" s="17"/>
      <c r="K14" s="1"/>
    </row>
    <row r="15" spans="1:11">
      <c r="A15" s="1"/>
      <c r="B15" s="14"/>
      <c r="C15" s="18">
        <v>1</v>
      </c>
      <c r="D15" s="18">
        <v>1</v>
      </c>
      <c r="E15" s="1"/>
      <c r="F15" s="1"/>
      <c r="J15" s="17"/>
      <c r="K15" s="1"/>
    </row>
    <row r="16" spans="1:11" ht="60">
      <c r="A16" s="1"/>
      <c r="B16" s="14"/>
      <c r="C16" s="33">
        <f>D12*D13*D14*D15/C12/C13/C14/C15</f>
        <v>30</v>
      </c>
      <c r="D16" s="34" t="s">
        <v>32</v>
      </c>
      <c r="E16" s="34"/>
      <c r="F16" s="1"/>
      <c r="G16" s="31" t="s">
        <v>33</v>
      </c>
      <c r="H16" s="31" t="s">
        <v>31</v>
      </c>
      <c r="J16" s="17"/>
      <c r="K16" s="1"/>
    </row>
    <row r="17" spans="1:11">
      <c r="A17" s="1"/>
      <c r="B17" s="14"/>
      <c r="C17" s="32"/>
      <c r="D17" s="1"/>
      <c r="E17" s="1"/>
      <c r="F17" s="1"/>
      <c r="G17" s="35">
        <f>((((F$5*C$8)-(G$5*C$8))/(E$5*C$8))*(G$8*I$8*(C12*C13*C14*C15/D12/D13/D14/D15)/(0.2248*39.37))+(G$5*C$8))/C$8</f>
        <v>11.391965358307942</v>
      </c>
      <c r="H17" s="38">
        <f>E5*C8*(1/(C12*C13*C14*C15/D12/D13/D14/D15))*39.37*0.2248*D8/I8</f>
        <v>184.08782079999995</v>
      </c>
      <c r="J17" s="17"/>
      <c r="K17" s="1"/>
    </row>
    <row r="18" spans="1:11" ht="16" thickBot="1">
      <c r="A18" s="1"/>
      <c r="B18" s="19"/>
      <c r="C18" s="21"/>
      <c r="D18" s="21"/>
      <c r="E18" s="21"/>
      <c r="F18" s="21"/>
      <c r="G18" s="21"/>
      <c r="H18" s="21"/>
      <c r="I18" s="21"/>
      <c r="J18" s="22"/>
      <c r="K18" s="1"/>
    </row>
    <row r="19" spans="1:1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</sheetData>
  <phoneticPr fontId="10" type="noConversion"/>
  <pageMargins left="0.75" right="0.75" top="1" bottom="1" header="0.5" footer="0.5"/>
  <pageSetup scale="21" orientation="portrait" horizontalDpi="4294967292" verticalDpi="4294967292"/>
  <rowBreaks count="1" manualBreakCount="1">
    <brk id="82" max="16383" man="1"/>
  </rowBreaks>
  <colBreaks count="1" manualBreakCount="1">
    <brk id="38" max="1048575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3366FF"/>
  </sheetPr>
  <dimension ref="A1:Z29"/>
  <sheetViews>
    <sheetView topLeftCell="A4" workbookViewId="0">
      <selection activeCell="C14" sqref="C14"/>
    </sheetView>
  </sheetViews>
  <sheetFormatPr baseColWidth="10" defaultColWidth="10.83203125" defaultRowHeight="15" x14ac:dyDescent="0"/>
  <cols>
    <col min="1" max="2" width="3.5" style="66" customWidth="1"/>
    <col min="3" max="7" width="12" style="66" customWidth="1"/>
    <col min="8" max="8" width="3.5" style="66" customWidth="1"/>
    <col min="9" max="13" width="12" style="66" customWidth="1"/>
    <col min="14" max="16" width="3.5" style="66" customWidth="1"/>
    <col min="17" max="21" width="12" style="66" customWidth="1"/>
    <col min="22" max="22" width="3.5" style="66" customWidth="1"/>
    <col min="23" max="24" width="12" style="66" customWidth="1"/>
    <col min="25" max="25" width="3.5" style="66" customWidth="1"/>
    <col min="26" max="16384" width="10.83203125" style="66"/>
  </cols>
  <sheetData>
    <row r="1" spans="1:26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</row>
    <row r="2" spans="1:26" ht="16" thickBot="1">
      <c r="A2" s="65"/>
      <c r="B2" s="67" t="s">
        <v>76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7" t="s">
        <v>63</v>
      </c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26">
      <c r="A3" s="65"/>
      <c r="B3" s="68"/>
      <c r="C3" s="69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65"/>
      <c r="P3" s="68"/>
      <c r="Q3" s="69"/>
      <c r="R3" s="70"/>
      <c r="S3" s="70"/>
      <c r="T3" s="70"/>
      <c r="U3" s="70"/>
      <c r="V3" s="70"/>
      <c r="W3" s="70"/>
      <c r="X3" s="70"/>
      <c r="Y3" s="71"/>
      <c r="Z3" s="65"/>
    </row>
    <row r="4" spans="1:26" ht="60" customHeight="1">
      <c r="A4" s="72"/>
      <c r="B4" s="73"/>
      <c r="C4" s="74" t="s">
        <v>111</v>
      </c>
      <c r="D4" s="74" t="s">
        <v>99</v>
      </c>
      <c r="E4" s="74" t="s">
        <v>110</v>
      </c>
      <c r="F4" s="74" t="s">
        <v>109</v>
      </c>
      <c r="G4" s="74" t="s">
        <v>18</v>
      </c>
      <c r="H4" s="72"/>
      <c r="I4" s="74" t="s">
        <v>120</v>
      </c>
      <c r="J4" s="74" t="s">
        <v>122</v>
      </c>
      <c r="K4" s="74" t="s">
        <v>121</v>
      </c>
      <c r="L4" s="74" t="s">
        <v>119</v>
      </c>
      <c r="M4" s="74" t="s">
        <v>108</v>
      </c>
      <c r="N4" s="76"/>
      <c r="O4" s="72"/>
      <c r="P4" s="73"/>
      <c r="Q4" s="74" t="s">
        <v>0</v>
      </c>
      <c r="R4" s="74" t="s">
        <v>1</v>
      </c>
      <c r="S4" s="74" t="s">
        <v>2</v>
      </c>
      <c r="T4" s="74" t="s">
        <v>3</v>
      </c>
      <c r="U4" s="74" t="s">
        <v>19</v>
      </c>
      <c r="W4" s="74" t="s">
        <v>115</v>
      </c>
      <c r="X4" s="74" t="s">
        <v>108</v>
      </c>
      <c r="Y4" s="76"/>
      <c r="Z4" s="72"/>
    </row>
    <row r="5" spans="1:26">
      <c r="A5" s="75"/>
      <c r="B5" s="77" t="s">
        <v>79</v>
      </c>
      <c r="C5" s="133">
        <v>5310</v>
      </c>
      <c r="D5" s="130">
        <v>2.4300000000000002</v>
      </c>
      <c r="E5" s="128">
        <v>133</v>
      </c>
      <c r="F5" s="128">
        <v>2.7</v>
      </c>
      <c r="G5" s="78">
        <v>2</v>
      </c>
      <c r="H5" s="75"/>
      <c r="I5" s="79">
        <v>2</v>
      </c>
      <c r="J5" s="140">
        <f>L5/E5</f>
        <v>9.0225563909774431E-2</v>
      </c>
      <c r="K5" s="139">
        <v>1.7000000000000001E-2</v>
      </c>
      <c r="L5" s="126">
        <v>12</v>
      </c>
      <c r="M5" s="80">
        <v>0.9</v>
      </c>
      <c r="N5" s="81"/>
      <c r="O5" s="75"/>
      <c r="P5" s="77"/>
      <c r="Q5" s="63">
        <v>14000</v>
      </c>
      <c r="R5" s="138">
        <f>(W5 - T5*W6)/(Q5*PI()/30)*S5</f>
        <v>0.320856365273261</v>
      </c>
      <c r="S5" s="64">
        <v>41</v>
      </c>
      <c r="T5" s="64">
        <v>1.8</v>
      </c>
      <c r="U5" s="79">
        <v>1</v>
      </c>
      <c r="W5" s="126">
        <v>12</v>
      </c>
      <c r="X5" s="80">
        <f>0.98^2</f>
        <v>0.96039999999999992</v>
      </c>
      <c r="Y5" s="81"/>
      <c r="Z5" s="75"/>
    </row>
    <row r="6" spans="1:26">
      <c r="A6" s="75"/>
      <c r="B6" s="77" t="s">
        <v>80</v>
      </c>
      <c r="C6" s="133">
        <v>6200</v>
      </c>
      <c r="D6" s="130">
        <v>1.4</v>
      </c>
      <c r="E6" s="128">
        <v>86</v>
      </c>
      <c r="F6" s="128">
        <v>1.5</v>
      </c>
      <c r="H6" s="75"/>
      <c r="I6" s="79">
        <v>1</v>
      </c>
      <c r="J6" s="140">
        <f>L6/E6</f>
        <v>0.13953488372093023</v>
      </c>
      <c r="K6" s="139">
        <v>3.0000000000000001E-3</v>
      </c>
      <c r="L6" s="126">
        <v>12</v>
      </c>
      <c r="M6" s="80">
        <f>0.98*0.98*0.97</f>
        <v>0.93158799999999986</v>
      </c>
      <c r="N6" s="81"/>
      <c r="O6" s="75"/>
      <c r="P6" s="77"/>
      <c r="Q6" s="134">
        <f>freeSpeed(Q5,1,R5,1,T5,1,U5,0,W6,1,W5,1,L7)</f>
        <v>14000</v>
      </c>
      <c r="R6" s="135">
        <f>stallTorque(R5,1,T5,1,U5,0,W6,1,W5,1,L7)</f>
        <v>0.320856365273261</v>
      </c>
      <c r="S6" s="129">
        <f>stallCurrent(S5,1,T5,1,U5,0,W6,1,W5,1,L7)</f>
        <v>41</v>
      </c>
      <c r="T6" s="129">
        <f>freeCurrent(T5,1,U5,0,W6,1,W5,1,L7)</f>
        <v>1.8</v>
      </c>
      <c r="U6" s="83"/>
      <c r="W6" s="140">
        <f>W5/S5</f>
        <v>0.29268292682926828</v>
      </c>
      <c r="X6" s="80">
        <v>0.96</v>
      </c>
      <c r="Y6" s="81"/>
      <c r="Z6" s="75"/>
    </row>
    <row r="7" spans="1:26">
      <c r="A7" s="75"/>
      <c r="B7" s="77"/>
      <c r="C7" s="134">
        <f>freeSpeed(C5,C6,D5,D6,F5,F6,I5,I6,J5,J6,L5,L6,L7)</f>
        <v>5486.1236224245331</v>
      </c>
      <c r="D7" s="135">
        <f>stallTorque(D5,D6,F5,F6,I5,I6,J5,J6,L5,L6,L7)</f>
        <v>6.26</v>
      </c>
      <c r="E7" s="129">
        <f>stallCurrent(E5,E6,F5,F6,I5,I6,J5,J6,L5,L6,L7)</f>
        <v>352</v>
      </c>
      <c r="F7" s="129">
        <f>freeCurrent(F5,F6,I5,I6,J5,J6,L5,L6,L7)</f>
        <v>6.9</v>
      </c>
      <c r="H7" s="75"/>
      <c r="I7" s="65"/>
      <c r="J7" s="131"/>
      <c r="K7" s="139">
        <f>800*10^-6</f>
        <v>7.9999999999999993E-4</v>
      </c>
      <c r="L7" s="126">
        <v>12</v>
      </c>
      <c r="N7" s="81"/>
      <c r="O7" s="75"/>
      <c r="P7" s="77"/>
      <c r="Q7" s="82"/>
      <c r="Y7" s="81"/>
      <c r="Z7" s="75"/>
    </row>
    <row r="8" spans="1:26">
      <c r="A8" s="65"/>
      <c r="B8" s="84"/>
      <c r="C8" s="85"/>
      <c r="D8" s="85"/>
      <c r="E8" s="86"/>
      <c r="F8" s="86"/>
      <c r="G8" s="65"/>
      <c r="H8" s="65"/>
      <c r="I8" s="65"/>
      <c r="J8" s="65"/>
      <c r="K8" s="65"/>
      <c r="L8" s="75"/>
      <c r="M8" s="75"/>
      <c r="N8" s="87"/>
      <c r="O8" s="65"/>
      <c r="P8" s="84"/>
      <c r="Q8" s="85"/>
      <c r="R8" s="85"/>
      <c r="S8" s="85"/>
      <c r="T8" s="86"/>
      <c r="U8" s="86"/>
      <c r="V8" s="86"/>
      <c r="W8" s="65"/>
      <c r="X8" s="65"/>
      <c r="Y8" s="87"/>
      <c r="Z8" s="65"/>
    </row>
    <row r="9" spans="1:26" ht="60" customHeight="1">
      <c r="A9" s="65"/>
      <c r="B9" s="84"/>
      <c r="C9" s="74" t="s">
        <v>90</v>
      </c>
      <c r="D9" s="74" t="s">
        <v>89</v>
      </c>
      <c r="E9" s="74" t="s">
        <v>88</v>
      </c>
      <c r="F9" s="74" t="s">
        <v>87</v>
      </c>
      <c r="G9" s="74" t="s">
        <v>5</v>
      </c>
      <c r="H9" s="65"/>
      <c r="I9" s="74" t="s">
        <v>81</v>
      </c>
      <c r="J9" s="74" t="s">
        <v>93</v>
      </c>
      <c r="K9" s="88" t="s">
        <v>91</v>
      </c>
      <c r="L9" s="88" t="s">
        <v>77</v>
      </c>
      <c r="M9" s="88" t="s">
        <v>78</v>
      </c>
      <c r="N9" s="87"/>
      <c r="O9" s="65"/>
      <c r="P9" s="84"/>
      <c r="Q9" s="74" t="s">
        <v>65</v>
      </c>
      <c r="R9" s="74" t="s">
        <v>103</v>
      </c>
      <c r="S9" s="74" t="s">
        <v>71</v>
      </c>
      <c r="T9" s="74" t="s">
        <v>102</v>
      </c>
      <c r="U9" s="74" t="s">
        <v>123</v>
      </c>
      <c r="W9" s="74" t="s">
        <v>104</v>
      </c>
      <c r="X9" s="74" t="s">
        <v>105</v>
      </c>
      <c r="Y9" s="87"/>
      <c r="Z9" s="65"/>
    </row>
    <row r="10" spans="1:26">
      <c r="A10" s="65"/>
      <c r="B10" s="84"/>
      <c r="C10" s="89">
        <v>0</v>
      </c>
      <c r="D10" s="89">
        <v>9.8000000000000007</v>
      </c>
      <c r="E10" s="89">
        <v>13.6</v>
      </c>
      <c r="F10" s="89">
        <v>120</v>
      </c>
      <c r="G10" s="80">
        <v>1</v>
      </c>
      <c r="H10" s="65"/>
      <c r="I10" s="90">
        <v>120</v>
      </c>
      <c r="J10" s="90">
        <v>40</v>
      </c>
      <c r="K10" s="91">
        <v>3.5</v>
      </c>
      <c r="L10" s="79">
        <v>1.3</v>
      </c>
      <c r="M10" s="79">
        <v>0.8</v>
      </c>
      <c r="N10" s="87"/>
      <c r="O10" s="65"/>
      <c r="P10" s="84"/>
      <c r="Q10" s="79">
        <v>4</v>
      </c>
      <c r="R10" s="124">
        <v>3.25</v>
      </c>
      <c r="S10" s="79">
        <v>0.01</v>
      </c>
      <c r="T10" s="124">
        <v>1</v>
      </c>
      <c r="U10" s="141">
        <v>1</v>
      </c>
      <c r="W10" s="124">
        <v>50</v>
      </c>
      <c r="X10" s="124">
        <v>0.375</v>
      </c>
      <c r="Y10" s="87"/>
      <c r="Z10" s="65"/>
    </row>
    <row r="11" spans="1:26" ht="15" customHeight="1" thickBot="1">
      <c r="A11" s="65"/>
      <c r="B11" s="92"/>
      <c r="C11" s="93"/>
      <c r="D11" s="93"/>
      <c r="E11" s="94"/>
      <c r="F11" s="94"/>
      <c r="G11" s="94"/>
      <c r="H11" s="94"/>
      <c r="I11" s="95"/>
      <c r="J11" s="96"/>
      <c r="K11" s="96"/>
      <c r="L11" s="96"/>
      <c r="M11" s="96"/>
      <c r="N11" s="97"/>
      <c r="O11" s="65"/>
      <c r="P11" s="92"/>
      <c r="Q11" s="93"/>
      <c r="R11" s="93"/>
      <c r="S11" s="93"/>
      <c r="T11" s="94"/>
      <c r="U11" s="94"/>
      <c r="V11" s="94"/>
      <c r="W11" s="94"/>
      <c r="X11" s="94"/>
      <c r="Y11" s="97"/>
      <c r="Z11" s="65"/>
    </row>
    <row r="12" spans="1:26">
      <c r="A12" s="65"/>
      <c r="B12" s="68"/>
      <c r="C12" s="69"/>
      <c r="D12" s="98"/>
      <c r="E12" s="70"/>
      <c r="F12" s="70"/>
      <c r="G12" s="70"/>
      <c r="H12" s="70"/>
      <c r="I12" s="99"/>
      <c r="J12" s="100"/>
      <c r="K12" s="100"/>
      <c r="L12" s="100"/>
      <c r="M12" s="100"/>
      <c r="N12" s="71"/>
      <c r="O12" s="65"/>
      <c r="P12" s="68"/>
      <c r="Q12" s="69"/>
      <c r="R12" s="98"/>
      <c r="S12" s="98"/>
      <c r="T12" s="70"/>
      <c r="U12" s="70"/>
      <c r="V12" s="70"/>
      <c r="W12" s="70"/>
      <c r="X12" s="70"/>
      <c r="Y12" s="71"/>
      <c r="Z12" s="65"/>
    </row>
    <row r="13" spans="1:26" ht="60" customHeight="1">
      <c r="A13" s="72"/>
      <c r="B13" s="73"/>
      <c r="C13" s="101" t="s">
        <v>6</v>
      </c>
      <c r="D13" s="101" t="s">
        <v>7</v>
      </c>
      <c r="E13" s="72"/>
      <c r="F13" s="102" t="s">
        <v>8</v>
      </c>
      <c r="G13" s="102" t="s">
        <v>9</v>
      </c>
      <c r="H13" s="72"/>
      <c r="I13" s="102" t="s">
        <v>22</v>
      </c>
      <c r="J13" s="102" t="s">
        <v>23</v>
      </c>
      <c r="K13" s="102" t="s">
        <v>94</v>
      </c>
      <c r="L13" s="102" t="s">
        <v>95</v>
      </c>
      <c r="M13" s="102" t="s">
        <v>96</v>
      </c>
      <c r="N13" s="76"/>
      <c r="O13" s="72"/>
      <c r="P13" s="73"/>
      <c r="Q13" s="101" t="s">
        <v>6</v>
      </c>
      <c r="R13" s="101" t="s">
        <v>7</v>
      </c>
      <c r="S13" s="72"/>
      <c r="T13" s="102" t="s">
        <v>29</v>
      </c>
      <c r="U13" s="102" t="s">
        <v>30</v>
      </c>
      <c r="W13" s="137" t="s">
        <v>106</v>
      </c>
      <c r="X13" s="101" t="s">
        <v>107</v>
      </c>
      <c r="Y13" s="76"/>
      <c r="Z13" s="72"/>
    </row>
    <row r="14" spans="1:26">
      <c r="A14" s="75"/>
      <c r="B14" s="77"/>
      <c r="C14" s="79">
        <v>22</v>
      </c>
      <c r="D14" s="79">
        <v>48</v>
      </c>
      <c r="E14" s="75"/>
      <c r="F14" s="79">
        <v>24</v>
      </c>
      <c r="G14" s="79">
        <v>34</v>
      </c>
      <c r="H14" s="75"/>
      <c r="I14" s="103">
        <f>J14/M$5</f>
        <v>27.105959078939215</v>
      </c>
      <c r="J14" s="104">
        <f>C$7*M$5*((K$10*0.0254/2)*2*PI())/(0.3048*60)*C14/D14*C15/D15*C16/D16*F14/G14</f>
        <v>24.395363171045293</v>
      </c>
      <c r="K14" s="105">
        <f>IF($I$5&gt;0,($L$7-M15*PI()/30*motorK($D$5,$E$5,$F$5))/($J$5+$K$5+$K$6+$K$7),0)</f>
        <v>110.24834276085286</v>
      </c>
      <c r="L14" s="136">
        <f>K14/$J$10</f>
        <v>2.7562085690213216</v>
      </c>
      <c r="M14" s="104">
        <f>(1-$I$26/$M$6*($K$10/2)*0.112984829/I15/($D$7*$G$5))*I14</f>
        <v>-0.60815605984478949</v>
      </c>
      <c r="N14" s="81"/>
      <c r="O14" s="75"/>
      <c r="P14" s="77"/>
      <c r="Q14" s="79">
        <v>11</v>
      </c>
      <c r="R14" s="79">
        <v>32</v>
      </c>
      <c r="S14" s="82" t="s">
        <v>27</v>
      </c>
      <c r="T14" s="121">
        <f>Q$6*X5/Q18*(360/60)</f>
        <v>1733.2218749999993</v>
      </c>
      <c r="U14" s="106">
        <f>90/T14</f>
        <v>5.1926415941409718E-2</v>
      </c>
      <c r="W14" s="122">
        <f>((C10+D10+E10+F10)/Q10*G10)*(T10/2*L10+R10/2*S10)*U10</f>
        <v>23.8850625</v>
      </c>
      <c r="X14" s="125">
        <f>((C10+D10+E10+F10)/Q10*G10)*(T10/2*L10+(W10/X10)*R10/2*S10)*U10</f>
        <v>100.97750000000001</v>
      </c>
      <c r="Y14" s="81"/>
      <c r="Z14" s="75"/>
    </row>
    <row r="15" spans="1:26">
      <c r="A15" s="65"/>
      <c r="B15" s="84"/>
      <c r="C15" s="79">
        <v>1</v>
      </c>
      <c r="D15" s="79">
        <v>1</v>
      </c>
      <c r="E15" s="65"/>
      <c r="F15" s="65"/>
      <c r="G15" s="65"/>
      <c r="H15" s="65"/>
      <c r="I15" s="107">
        <f>D14*D15*D16*G14/C14/C15/C16/F14</f>
        <v>3.0909090909090913</v>
      </c>
      <c r="J15" s="65" t="s">
        <v>20</v>
      </c>
      <c r="K15" s="108">
        <f>IF($I$6&gt;0,($L$7-M15*PI()/30*motorK($D$6,$E$6,$F$6))/($J$6+$K$5+$K$6+$K$7),0)</f>
        <v>76.175300669079732</v>
      </c>
      <c r="L15" s="136">
        <f>K15/$J$10</f>
        <v>1.9043825167269932</v>
      </c>
      <c r="M15" s="132">
        <f>(1-$I$26/I15/$M$6*($K$10/2)*0.112984829/$G$5/$D$7)*$C$7</f>
        <v>-123.0880381807799</v>
      </c>
      <c r="N15" s="87"/>
      <c r="O15" s="65"/>
      <c r="P15" s="84"/>
      <c r="Q15" s="79">
        <v>14</v>
      </c>
      <c r="R15" s="79">
        <v>84</v>
      </c>
      <c r="S15" s="82" t="s">
        <v>100</v>
      </c>
      <c r="T15" s="121">
        <f>$T$14-$T$14/$X$18*W$14</f>
        <v>1406.9786422468424</v>
      </c>
      <c r="U15" s="106">
        <f>90/T15</f>
        <v>6.3966855855236412E-2</v>
      </c>
      <c r="Y15" s="87"/>
      <c r="Z15" s="65"/>
    </row>
    <row r="16" spans="1:26">
      <c r="A16" s="65"/>
      <c r="B16" s="84"/>
      <c r="C16" s="79">
        <v>1</v>
      </c>
      <c r="D16" s="79">
        <v>1</v>
      </c>
      <c r="E16" s="65"/>
      <c r="F16" s="65"/>
      <c r="G16" s="65"/>
      <c r="H16" s="65"/>
      <c r="I16" s="109"/>
      <c r="J16" s="65"/>
      <c r="K16" s="105">
        <f>$G$5*($I$5*K14+$I$6*K15)</f>
        <v>593.34397238157089</v>
      </c>
      <c r="L16" s="136">
        <f>K16/I10</f>
        <v>4.944533103179757</v>
      </c>
      <c r="M16" s="110"/>
      <c r="N16" s="87"/>
      <c r="O16" s="65"/>
      <c r="P16" s="84"/>
      <c r="Q16" s="79">
        <v>12</v>
      </c>
      <c r="R16" s="79">
        <v>32</v>
      </c>
      <c r="S16" s="82" t="s">
        <v>101</v>
      </c>
      <c r="T16" s="121">
        <f>$T$14-$T$14/$X$18*X$14</f>
        <v>353.98219181592162</v>
      </c>
      <c r="U16" s="106">
        <f>90/T16</f>
        <v>0.25425007833953961</v>
      </c>
      <c r="Y16" s="87"/>
      <c r="Z16" s="65"/>
    </row>
    <row r="17" spans="1:26" ht="60" customHeight="1">
      <c r="A17" s="65"/>
      <c r="B17" s="84"/>
      <c r="C17" s="111"/>
      <c r="D17" s="65"/>
      <c r="E17" s="65"/>
      <c r="F17" s="112" t="s">
        <v>72</v>
      </c>
      <c r="G17" s="112" t="s">
        <v>73</v>
      </c>
      <c r="H17" s="65"/>
      <c r="I17" s="112" t="s">
        <v>74</v>
      </c>
      <c r="J17" s="112" t="s">
        <v>75</v>
      </c>
      <c r="K17" s="112" t="s">
        <v>94</v>
      </c>
      <c r="L17" s="112" t="s">
        <v>95</v>
      </c>
      <c r="M17" s="112" t="s">
        <v>98</v>
      </c>
      <c r="N17" s="87"/>
      <c r="O17" s="65"/>
      <c r="P17" s="84"/>
      <c r="T17" s="102" t="s">
        <v>118</v>
      </c>
      <c r="U17" s="102" t="s">
        <v>116</v>
      </c>
      <c r="X17" s="137" t="s">
        <v>99</v>
      </c>
      <c r="Y17" s="87"/>
      <c r="Z17" s="65"/>
    </row>
    <row r="18" spans="1:26">
      <c r="A18" s="65"/>
      <c r="B18" s="84"/>
      <c r="C18" s="113">
        <f>IF(ISNUMBER(I14/I18), I14/I18, 1)</f>
        <v>2.2184873949579837</v>
      </c>
      <c r="D18" s="65" t="s">
        <v>83</v>
      </c>
      <c r="E18" s="65"/>
      <c r="F18" s="79">
        <v>14</v>
      </c>
      <c r="G18" s="79">
        <v>44</v>
      </c>
      <c r="H18" s="65"/>
      <c r="I18" s="103">
        <f>J18/M$5</f>
        <v>12.218216403006689</v>
      </c>
      <c r="J18" s="104">
        <f>C$7*M$5*K$10*0.0254/2*2*PI()/(0.3048*60)*C14/D14*C15/D15*C16/D16*F18/G18</f>
        <v>10.996394762706021</v>
      </c>
      <c r="K18" s="105">
        <f>IF($I$5&gt;0,($L$7-M19*PI()/30*motorK($D$5,$E$5,$F$5))/($J$5+$K$5+$K$6+$K$7),0)</f>
        <v>56.056565815404085</v>
      </c>
      <c r="L18" s="136">
        <f>K18/$J$10</f>
        <v>1.4014141453851021</v>
      </c>
      <c r="M18" s="104">
        <f>(1-$I$26/$M$6*($K$10/2)*0.112984829/I19/($D$7*$G$5))*I18</f>
        <v>6.5871961940948403</v>
      </c>
      <c r="N18" s="87"/>
      <c r="O18" s="65"/>
      <c r="P18" s="84"/>
      <c r="Q18" s="114">
        <f>R14*R15*R16/Q14/Q15/Q16</f>
        <v>46.545454545454554</v>
      </c>
      <c r="R18" s="115" t="s">
        <v>117</v>
      </c>
      <c r="T18" s="116">
        <f>(L7-Q6*(1-W14/X18)*PI()/30*motorK(R5,S5,T5))/W6</f>
        <v>7.7174034875825903</v>
      </c>
      <c r="U18" s="116">
        <f>(L7-Q6*(1-X14/X18)*PI()/30*motorK(R5,S5,T5))/W6</f>
        <v>32.626421248316646</v>
      </c>
      <c r="X18" s="123">
        <f>R6*Q18*U5*8.85074571515485*X6</f>
        <v>126.89339932474536</v>
      </c>
      <c r="Y18" s="87"/>
      <c r="Z18" s="65"/>
    </row>
    <row r="19" spans="1:26" ht="16" thickBot="1">
      <c r="A19" s="65"/>
      <c r="B19" s="84"/>
      <c r="C19" s="113">
        <f>IF(ISNUMBER(I18/I22),I18/I22,1)</f>
        <v>1</v>
      </c>
      <c r="D19" s="65" t="s">
        <v>83</v>
      </c>
      <c r="E19" s="65"/>
      <c r="F19" s="65"/>
      <c r="G19" s="65"/>
      <c r="H19" s="65"/>
      <c r="I19" s="107">
        <f>D14*D15*D16*G18/C14/C15/C16/F18</f>
        <v>6.8571428571428568</v>
      </c>
      <c r="J19" s="66" t="s">
        <v>82</v>
      </c>
      <c r="K19" s="108">
        <f>IF($I$6&gt;0,($L$7-M19*PI()/30*motorK($D$6,$E$6,$F$6))/($J$6+$K$5+$K$6+$K$7),0)</f>
        <v>42.837432330620778</v>
      </c>
      <c r="L19" s="136">
        <f>K19/$J$10</f>
        <v>1.0709358082655194</v>
      </c>
      <c r="M19" s="132">
        <f>(1-$I$26/I19/$M$6*($K$10/2)*0.112984829/$G$5/$D$7)*$C$7</f>
        <v>2957.7289723789563</v>
      </c>
      <c r="N19" s="87"/>
      <c r="O19" s="65"/>
      <c r="P19" s="92"/>
      <c r="Q19" s="94"/>
      <c r="R19" s="94"/>
      <c r="S19" s="94"/>
      <c r="T19" s="94"/>
      <c r="U19" s="94"/>
      <c r="V19" s="94"/>
      <c r="W19" s="94"/>
      <c r="X19" s="94"/>
      <c r="Y19" s="97"/>
      <c r="Z19" s="65"/>
    </row>
    <row r="20" spans="1:26">
      <c r="A20" s="65"/>
      <c r="B20" s="84"/>
      <c r="C20" s="113">
        <f>C18*C19</f>
        <v>2.2184873949579837</v>
      </c>
      <c r="D20" s="65" t="s">
        <v>84</v>
      </c>
      <c r="E20" s="65"/>
      <c r="F20" s="65"/>
      <c r="G20" s="65"/>
      <c r="H20" s="65"/>
      <c r="I20" s="107"/>
      <c r="J20" s="107"/>
      <c r="K20" s="105">
        <f>$G$5*($I$5*K18+$I$6*K19)</f>
        <v>309.90112792285788</v>
      </c>
      <c r="L20" s="136">
        <f>K20/I10</f>
        <v>2.5825093993571491</v>
      </c>
      <c r="M20" s="110"/>
      <c r="N20" s="87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ht="60" customHeight="1">
      <c r="A21" s="65"/>
      <c r="B21" s="84"/>
      <c r="C21" s="111"/>
      <c r="D21" s="65"/>
      <c r="E21" s="65"/>
      <c r="F21" s="117" t="s">
        <v>10</v>
      </c>
      <c r="G21" s="117" t="s">
        <v>11</v>
      </c>
      <c r="H21" s="65"/>
      <c r="I21" s="117" t="s">
        <v>24</v>
      </c>
      <c r="J21" s="117" t="s">
        <v>25</v>
      </c>
      <c r="K21" s="117" t="s">
        <v>94</v>
      </c>
      <c r="L21" s="117" t="s">
        <v>95</v>
      </c>
      <c r="M21" s="117" t="s">
        <v>97</v>
      </c>
      <c r="N21" s="87"/>
      <c r="O21" s="65"/>
      <c r="Z21" s="65"/>
    </row>
    <row r="22" spans="1:26">
      <c r="A22" s="65"/>
      <c r="B22" s="84"/>
      <c r="E22" s="65"/>
      <c r="F22" s="79">
        <v>0</v>
      </c>
      <c r="G22" s="79">
        <f>F14+G14-F22</f>
        <v>58</v>
      </c>
      <c r="H22" s="65"/>
      <c r="I22" s="103">
        <f>J22/M$5</f>
        <v>0</v>
      </c>
      <c r="J22" s="104">
        <f>C$7*M$5*K$10*0.0254/2*2*PI()/(0.3048*60)*C14/D14*C15/D15*C16/D16*F22/G22</f>
        <v>0</v>
      </c>
      <c r="K22" s="105" t="e">
        <f>IF($I$5&gt;0,($L$7-M23*PI()/30*motorK($D$5,$E$5,$F$5))/($J$5+$K$5+$K$6+$K$7),0)</f>
        <v>#DIV/0!</v>
      </c>
      <c r="L22" s="136" t="e">
        <f>K22/$J$10</f>
        <v>#DIV/0!</v>
      </c>
      <c r="M22" s="104" t="e">
        <f>(1-$I$26/$M$6*($K$10/2)*0.112984829/I23/($D$7*$G$5))*I22</f>
        <v>#DIV/0!</v>
      </c>
      <c r="N22" s="87"/>
      <c r="O22" s="65"/>
      <c r="Z22" s="65"/>
    </row>
    <row r="23" spans="1:26">
      <c r="A23" s="65"/>
      <c r="B23" s="84"/>
      <c r="E23" s="65"/>
      <c r="F23" s="65"/>
      <c r="G23" s="65"/>
      <c r="H23" s="65"/>
      <c r="I23" s="107" t="e">
        <f>D14*D15*D16*G22/C14/C15/C16/F22</f>
        <v>#DIV/0!</v>
      </c>
      <c r="J23" s="66" t="s">
        <v>21</v>
      </c>
      <c r="K23" s="108" t="e">
        <f>IF($I$6&gt;0,($L$7-M23*PI()/30*motorK($D$6,$E$6,$F$6))/($J$6+$K$5+$K$6+$K$7),0)</f>
        <v>#DIV/0!</v>
      </c>
      <c r="L23" s="136" t="e">
        <f>K23/$J$10</f>
        <v>#DIV/0!</v>
      </c>
      <c r="M23" s="132" t="e">
        <f>(1-$I$26/I23/$M$6*($K$10/2)*0.112984829/$G$5/$D$7)*$C$7</f>
        <v>#DIV/0!</v>
      </c>
      <c r="N23" s="87"/>
      <c r="O23" s="65"/>
      <c r="R23" s="127"/>
      <c r="S23" s="127"/>
      <c r="T23" s="127"/>
      <c r="Z23" s="65"/>
    </row>
    <row r="24" spans="1:26">
      <c r="A24" s="65"/>
      <c r="B24" s="84"/>
      <c r="C24" s="113"/>
      <c r="D24" s="65"/>
      <c r="E24" s="65"/>
      <c r="F24" s="65"/>
      <c r="G24" s="65"/>
      <c r="H24" s="65"/>
      <c r="I24" s="107"/>
      <c r="K24" s="105" t="e">
        <f>$G$5*($I$5*K22+$I$6*K23)</f>
        <v>#DIV/0!</v>
      </c>
      <c r="L24" s="136" t="e">
        <f>K24/I10</f>
        <v>#DIV/0!</v>
      </c>
      <c r="M24" s="110"/>
      <c r="N24" s="87"/>
      <c r="O24" s="65"/>
      <c r="Z24" s="65"/>
    </row>
    <row r="25" spans="1:26" ht="60" customHeight="1">
      <c r="A25" s="65"/>
      <c r="B25" s="84"/>
      <c r="C25" s="101" t="s">
        <v>112</v>
      </c>
      <c r="H25" s="65"/>
      <c r="I25" s="101" t="s">
        <v>85</v>
      </c>
      <c r="J25" s="101" t="s">
        <v>86</v>
      </c>
      <c r="K25" s="117" t="s">
        <v>113</v>
      </c>
      <c r="L25" s="112" t="s">
        <v>114</v>
      </c>
      <c r="M25" s="102" t="s">
        <v>92</v>
      </c>
      <c r="N25" s="87"/>
      <c r="O25" s="65"/>
      <c r="Z25" s="65"/>
    </row>
    <row r="26" spans="1:26">
      <c r="A26" s="65"/>
      <c r="B26" s="84"/>
      <c r="C26" s="129">
        <f>L7/(K5+K6)</f>
        <v>600</v>
      </c>
      <c r="H26" s="65"/>
      <c r="I26" s="118">
        <f>(C$10+D$10+E$10+F$10)*G$10*L10</f>
        <v>186.42000000000002</v>
      </c>
      <c r="J26" s="118">
        <f>(C$10+D$10+E$10+F$10)*G$10*M10</f>
        <v>114.72000000000001</v>
      </c>
      <c r="K26" s="118" t="e">
        <f>pushingForce(D5,D6,F5,F6,E5,E6,I5,I6,G5,J5,J6,L5,L6,L7,I23,M6,J10,K10)</f>
        <v>#VALUE!</v>
      </c>
      <c r="L26" s="118">
        <f>pushingForce(D5,D6,F5,F6,E5,E6,I5,I6,G5,J5,J6,L5,L6,L7,I19,M6,J10,K10)</f>
        <v>138.46679549770295</v>
      </c>
      <c r="M26" s="118">
        <f>pushingForce(D5,D6,F5,F6,E5,E6,I5,I6,G5,J5,J6,L5,L6,L7,I15,M6,J10,K10)</f>
        <v>62.414957061464591</v>
      </c>
      <c r="N26" s="87"/>
      <c r="O26" s="65"/>
      <c r="Z26" s="65"/>
    </row>
    <row r="27" spans="1:26" ht="16" thickBot="1">
      <c r="A27" s="65"/>
      <c r="B27" s="92"/>
      <c r="C27" s="94"/>
      <c r="D27" s="94"/>
      <c r="E27" s="94"/>
      <c r="F27" s="94"/>
      <c r="G27" s="94"/>
      <c r="H27" s="94"/>
      <c r="I27" s="94"/>
      <c r="J27" s="94"/>
      <c r="K27" s="94"/>
      <c r="L27" s="119"/>
      <c r="M27" s="94"/>
      <c r="N27" s="97"/>
      <c r="O27" s="65"/>
      <c r="Z27" s="65"/>
    </row>
    <row r="28" spans="1:26">
      <c r="O28" s="65"/>
      <c r="Z28" s="65"/>
    </row>
    <row r="29" spans="1:26">
      <c r="K29" s="120"/>
    </row>
  </sheetData>
  <conditionalFormatting sqref="K16 K20 K24">
    <cfRule type="cellIs" dxfId="2" priority="4" operator="greaterThan">
      <formula>$C$26</formula>
    </cfRule>
  </conditionalFormatting>
  <conditionalFormatting sqref="L14:L16 L18:L20 L22:L24">
    <cfRule type="dataBar" priority="1">
      <dataBar>
        <cfvo type="min"/>
        <cfvo type="max"/>
        <color rgb="FFFEB2C1"/>
      </dataBar>
      <extLst>
        <ext xmlns:x14="http://schemas.microsoft.com/office/spreadsheetml/2009/9/main" uri="{B025F937-C7B1-47D3-B67F-A62EFF666E3E}">
          <x14:id>{E907A413-60B3-B643-8352-A7D656EADCED}</x14:id>
        </ext>
      </extLst>
    </cfRule>
  </conditionalFormatting>
  <pageMargins left="0.75" right="0.75" top="1" bottom="1" header="0.5" footer="0.5"/>
  <pageSetup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07A413-60B3-B643-8352-A7D656EADCED}">
            <x14:dataBar minLength="0" maxLength="100" negativeBarColorSameAsPositive="1">
              <x14:cfvo type="autoMin"/>
              <x14:cfvo type="autoMax"/>
              <x14:axisColor rgb="FF000000"/>
            </x14:dataBar>
          </x14:cfRule>
          <xm:sqref>L14:L16 L18:L20 L22:L24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3366FF"/>
  </sheetPr>
  <dimension ref="A1:AP29"/>
  <sheetViews>
    <sheetView tabSelected="1" workbookViewId="0">
      <selection activeCell="R23" sqref="R23"/>
    </sheetView>
  </sheetViews>
  <sheetFormatPr baseColWidth="10" defaultColWidth="10.83203125" defaultRowHeight="15" x14ac:dyDescent="0"/>
  <cols>
    <col min="1" max="2" width="3.5" style="66" customWidth="1"/>
    <col min="3" max="7" width="12" style="66" customWidth="1"/>
    <col min="8" max="8" width="3.5" style="66" customWidth="1"/>
    <col min="9" max="13" width="12" style="66" customWidth="1"/>
    <col min="14" max="16" width="3.5" style="66" customWidth="1"/>
    <col min="17" max="21" width="12" style="66" customWidth="1"/>
    <col min="22" max="22" width="3.5" style="66" customWidth="1"/>
    <col min="23" max="24" width="12" style="66" customWidth="1"/>
    <col min="25" max="27" width="3.5" style="66" customWidth="1"/>
    <col min="28" max="31" width="12" style="66" customWidth="1"/>
    <col min="32" max="32" width="3.5" style="66" customWidth="1"/>
    <col min="33" max="38" width="12" style="66" customWidth="1"/>
    <col min="39" max="39" width="3.5" style="66" customWidth="1"/>
    <col min="40" max="16384" width="10.83203125" style="66"/>
  </cols>
  <sheetData>
    <row r="1" spans="1:42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</row>
    <row r="2" spans="1:42" ht="16" thickBot="1">
      <c r="A2" s="65"/>
      <c r="B2" s="67" t="s">
        <v>76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7" t="s">
        <v>63</v>
      </c>
      <c r="Q2" s="65"/>
      <c r="R2" s="65"/>
      <c r="S2" s="65"/>
      <c r="T2" s="65"/>
      <c r="U2" s="65"/>
      <c r="V2" s="65"/>
      <c r="W2" s="65"/>
      <c r="X2" s="65"/>
      <c r="Y2" s="65"/>
      <c r="Z2" s="65"/>
      <c r="AA2" s="66" t="s">
        <v>147</v>
      </c>
    </row>
    <row r="3" spans="1:42" ht="15" customHeight="1">
      <c r="A3" s="65"/>
      <c r="B3" s="68"/>
      <c r="C3" s="69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65"/>
      <c r="P3" s="68"/>
      <c r="Q3" s="69"/>
      <c r="R3" s="70"/>
      <c r="S3" s="70"/>
      <c r="T3" s="70"/>
      <c r="U3" s="70"/>
      <c r="V3" s="70"/>
      <c r="W3" s="70"/>
      <c r="X3" s="70"/>
      <c r="Y3" s="71"/>
      <c r="Z3" s="65"/>
      <c r="AA3" s="68"/>
      <c r="AB3" s="69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1"/>
    </row>
    <row r="4" spans="1:42" ht="60" customHeight="1">
      <c r="A4" s="72"/>
      <c r="B4" s="73"/>
      <c r="C4" s="74" t="s">
        <v>111</v>
      </c>
      <c r="D4" s="74" t="s">
        <v>99</v>
      </c>
      <c r="E4" s="146" t="s">
        <v>110</v>
      </c>
      <c r="F4" s="146" t="s">
        <v>109</v>
      </c>
      <c r="G4" s="74" t="s">
        <v>18</v>
      </c>
      <c r="H4" s="72"/>
      <c r="I4" s="74" t="s">
        <v>120</v>
      </c>
      <c r="J4" s="146" t="s">
        <v>122</v>
      </c>
      <c r="K4" s="146" t="s">
        <v>121</v>
      </c>
      <c r="L4" s="146" t="s">
        <v>119</v>
      </c>
      <c r="M4" s="74" t="s">
        <v>108</v>
      </c>
      <c r="N4" s="76"/>
      <c r="O4" s="72"/>
      <c r="P4" s="73"/>
      <c r="Q4" s="74" t="s">
        <v>0</v>
      </c>
      <c r="R4" s="74" t="s">
        <v>1</v>
      </c>
      <c r="S4" s="146" t="s">
        <v>2</v>
      </c>
      <c r="T4" s="146" t="s">
        <v>3</v>
      </c>
      <c r="U4" s="74" t="s">
        <v>19</v>
      </c>
      <c r="W4" s="146" t="s">
        <v>115</v>
      </c>
      <c r="X4" s="74" t="s">
        <v>108</v>
      </c>
      <c r="Y4" s="76"/>
      <c r="Z4" s="72"/>
      <c r="AA4" s="73"/>
      <c r="AB4" s="74" t="s">
        <v>111</v>
      </c>
      <c r="AC4" s="74" t="s">
        <v>99</v>
      </c>
      <c r="AD4" s="146" t="s">
        <v>110</v>
      </c>
      <c r="AE4" s="146" t="s">
        <v>109</v>
      </c>
      <c r="AG4" s="74" t="s">
        <v>120</v>
      </c>
      <c r="AH4" s="146" t="s">
        <v>122</v>
      </c>
      <c r="AI4" s="146" t="s">
        <v>124</v>
      </c>
      <c r="AJ4" s="74" t="s">
        <v>108</v>
      </c>
      <c r="AK4" s="74" t="s">
        <v>161</v>
      </c>
      <c r="AL4" s="74" t="s">
        <v>134</v>
      </c>
      <c r="AM4" s="76"/>
    </row>
    <row r="5" spans="1:42" ht="15" customHeight="1">
      <c r="A5" s="75"/>
      <c r="B5" s="77" t="s">
        <v>79</v>
      </c>
      <c r="C5" s="133">
        <v>5310</v>
      </c>
      <c r="D5" s="130">
        <v>2.4300000000000002</v>
      </c>
      <c r="E5" s="128">
        <v>133</v>
      </c>
      <c r="F5" s="128">
        <v>2.7</v>
      </c>
      <c r="G5" s="78">
        <v>2</v>
      </c>
      <c r="H5" s="75"/>
      <c r="I5" s="79">
        <v>2</v>
      </c>
      <c r="J5" s="140">
        <f>L5/E5</f>
        <v>9.0225563909774431E-2</v>
      </c>
      <c r="K5" s="139">
        <v>1.7000000000000001E-2</v>
      </c>
      <c r="L5" s="126">
        <v>12</v>
      </c>
      <c r="M5" s="80">
        <v>0.8913649025</v>
      </c>
      <c r="N5" s="81"/>
      <c r="O5" s="75"/>
      <c r="P5" s="77"/>
      <c r="Q5" s="63">
        <v>14000</v>
      </c>
      <c r="R5" s="138">
        <f>(W5 - T5*W6)/(Q5*PI()/30)*S5</f>
        <v>0.320856365273261</v>
      </c>
      <c r="S5" s="64">
        <v>41</v>
      </c>
      <c r="T5" s="64">
        <v>1.8</v>
      </c>
      <c r="U5" s="79">
        <v>1</v>
      </c>
      <c r="W5" s="126">
        <v>12</v>
      </c>
      <c r="X5" s="80">
        <f>0.98^2</f>
        <v>0.96039999999999992</v>
      </c>
      <c r="Y5" s="81"/>
      <c r="Z5" s="75"/>
      <c r="AA5" s="77" t="s">
        <v>79</v>
      </c>
      <c r="AB5" s="133">
        <v>5310</v>
      </c>
      <c r="AC5" s="130">
        <v>2.4300000000000002</v>
      </c>
      <c r="AD5" s="128">
        <v>133</v>
      </c>
      <c r="AE5" s="128">
        <v>2.7</v>
      </c>
      <c r="AG5" s="79">
        <v>1</v>
      </c>
      <c r="AH5" s="140">
        <f>AI5/AD5</f>
        <v>9.0225563909774431E-2</v>
      </c>
      <c r="AI5" s="126">
        <v>12</v>
      </c>
      <c r="AJ5" s="80">
        <v>0.95</v>
      </c>
      <c r="AK5" s="151">
        <f>0.453592/2*0.000292639653</f>
        <v>6.6369502741788007E-5</v>
      </c>
      <c r="AL5" s="143">
        <f>1/16</f>
        <v>6.25E-2</v>
      </c>
      <c r="AM5" s="81"/>
    </row>
    <row r="6" spans="1:42" ht="15" customHeight="1">
      <c r="A6" s="75"/>
      <c r="B6" s="77" t="s">
        <v>80</v>
      </c>
      <c r="C6" s="133">
        <v>6200</v>
      </c>
      <c r="D6" s="130">
        <v>1.4</v>
      </c>
      <c r="E6" s="128">
        <v>86</v>
      </c>
      <c r="F6" s="128">
        <v>1.5</v>
      </c>
      <c r="H6" s="75"/>
      <c r="I6" s="79">
        <v>1</v>
      </c>
      <c r="J6" s="140">
        <f>L6/E6</f>
        <v>0.13953488372093023</v>
      </c>
      <c r="K6" s="139">
        <v>3.0000000000000001E-3</v>
      </c>
      <c r="L6" s="126">
        <v>12</v>
      </c>
      <c r="M6" s="80">
        <f>0.98*0.98*0.97</f>
        <v>0.93158799999999986</v>
      </c>
      <c r="N6" s="81"/>
      <c r="O6" s="75"/>
      <c r="P6" s="77"/>
      <c r="Q6" s="134">
        <f>freeSpeed(Q5,1,R5,1,T5,1,U5,0,W6,1,W5,1,L7)</f>
        <v>14000</v>
      </c>
      <c r="R6" s="135">
        <f>stallTorque(R5,1,T5,1,U5,0,W6,1,W5,1,L7)</f>
        <v>0.320856365273261</v>
      </c>
      <c r="S6" s="129">
        <f>stallCurrent(S5,1,T5,1,U5,0,W6,1,W5,1,L7)</f>
        <v>41</v>
      </c>
      <c r="T6" s="129">
        <f>freeCurrent(T5,1,U5,0,W6,1,W5,1,L7)</f>
        <v>1.8</v>
      </c>
      <c r="U6" s="83"/>
      <c r="W6" s="140">
        <f>W5/S5</f>
        <v>0.29268292682926828</v>
      </c>
      <c r="X6" s="80">
        <v>0.96</v>
      </c>
      <c r="Y6" s="81"/>
      <c r="Z6" s="75"/>
      <c r="AA6" s="77" t="s">
        <v>80</v>
      </c>
      <c r="AB6" s="133">
        <v>6200</v>
      </c>
      <c r="AC6" s="130">
        <v>1.4</v>
      </c>
      <c r="AD6" s="128">
        <v>86</v>
      </c>
      <c r="AE6" s="128">
        <v>1.5</v>
      </c>
      <c r="AG6" s="79">
        <v>0</v>
      </c>
      <c r="AH6" s="140">
        <f>AI6/AD6</f>
        <v>0.13953488372093023</v>
      </c>
      <c r="AI6" s="126">
        <v>12</v>
      </c>
      <c r="AJ6" s="80">
        <f>0.98</f>
        <v>0.98</v>
      </c>
      <c r="AK6" s="151">
        <f>AK5*2/3</f>
        <v>4.4246335161192002E-5</v>
      </c>
      <c r="AM6" s="81"/>
    </row>
    <row r="7" spans="1:42" ht="15" customHeight="1">
      <c r="A7" s="75"/>
      <c r="B7" s="77"/>
      <c r="C7" s="134">
        <f>freeSpeed(C5,C6,D5,D6,F5,F6,I5,I6,J5,J6,L5,L6,L7)</f>
        <v>5486.1236224245331</v>
      </c>
      <c r="D7" s="135">
        <f>stallTorque(D5,D6,F5,F6,I5,I6,J5,J6,L5,L6,L7)</f>
        <v>6.26</v>
      </c>
      <c r="E7" s="129">
        <f>stallCurrent(E5,E6,F5,F6,I5,I6,J5,J6,L5,L6,L7)</f>
        <v>352</v>
      </c>
      <c r="F7" s="129">
        <f>freeCurrent(F5,F6,I5,I6,J5,J6,L5,L6,L7)</f>
        <v>6.9</v>
      </c>
      <c r="H7" s="75"/>
      <c r="I7" s="65"/>
      <c r="J7" s="131"/>
      <c r="K7" s="139">
        <f>800*10^-6</f>
        <v>7.9999999999999993E-4</v>
      </c>
      <c r="L7" s="126">
        <v>12</v>
      </c>
      <c r="N7" s="81"/>
      <c r="O7" s="75"/>
      <c r="P7" s="77"/>
      <c r="Q7" s="82"/>
      <c r="Y7" s="81"/>
      <c r="Z7" s="75"/>
      <c r="AA7" s="77"/>
      <c r="AB7" s="134">
        <f>freeSpeed(AB5,AB6,AC5,AC6,AE5,AE6,AG5,AG6,AH5,AH6,AI5,AI6,L7)</f>
        <v>5310</v>
      </c>
      <c r="AC7" s="135">
        <f>stallTorque(AC5,AC6,AE5,AE6,AG5,AG6,AH5,AH6,AI5,AI6,L7)</f>
        <v>2.4300000000000002</v>
      </c>
      <c r="AD7" s="129">
        <f>stallCurrent(AD5,AD6,AE5,AE6,AG5,AG6,AH5,AH6,AI5,AI6,L7)</f>
        <v>133</v>
      </c>
      <c r="AE7" s="129">
        <f>freeCurrent(AE5,AE6,AG5,AG6,AH5,AH6,AI5,AI6,L7)</f>
        <v>2.7</v>
      </c>
      <c r="AG7" s="65"/>
      <c r="AH7" s="131"/>
      <c r="AI7" s="131"/>
      <c r="AM7" s="81"/>
    </row>
    <row r="8" spans="1:42" ht="15" customHeight="1">
      <c r="A8" s="65"/>
      <c r="B8" s="84"/>
      <c r="C8" s="85"/>
      <c r="D8" s="85"/>
      <c r="E8" s="86"/>
      <c r="F8" s="86"/>
      <c r="G8" s="65"/>
      <c r="H8" s="65"/>
      <c r="I8" s="65"/>
      <c r="J8" s="65"/>
      <c r="K8" s="65"/>
      <c r="L8" s="75"/>
      <c r="M8" s="75"/>
      <c r="N8" s="87"/>
      <c r="O8" s="65"/>
      <c r="P8" s="84"/>
      <c r="Q8" s="85"/>
      <c r="R8" s="85"/>
      <c r="S8" s="85"/>
      <c r="T8" s="86"/>
      <c r="U8" s="86"/>
      <c r="V8" s="86"/>
      <c r="W8" s="65"/>
      <c r="X8" s="65"/>
      <c r="Y8" s="87"/>
      <c r="Z8" s="65"/>
      <c r="AA8" s="84"/>
      <c r="AC8" s="85"/>
      <c r="AD8" s="86"/>
      <c r="AE8" s="86"/>
      <c r="AF8" s="65"/>
      <c r="AG8" s="65"/>
      <c r="AH8" s="65"/>
      <c r="AI8" s="65"/>
      <c r="AK8" s="75"/>
      <c r="AL8" s="75"/>
      <c r="AM8" s="87"/>
    </row>
    <row r="9" spans="1:42" ht="60" customHeight="1">
      <c r="A9" s="65"/>
      <c r="B9" s="84"/>
      <c r="C9" s="74" t="s">
        <v>90</v>
      </c>
      <c r="D9" s="74" t="s">
        <v>89</v>
      </c>
      <c r="E9" s="74" t="s">
        <v>88</v>
      </c>
      <c r="F9" s="74" t="s">
        <v>87</v>
      </c>
      <c r="G9" s="74" t="s">
        <v>5</v>
      </c>
      <c r="H9" s="65"/>
      <c r="I9" s="146" t="s">
        <v>81</v>
      </c>
      <c r="J9" s="146" t="s">
        <v>93</v>
      </c>
      <c r="K9" s="88" t="s">
        <v>91</v>
      </c>
      <c r="L9" s="88" t="s">
        <v>77</v>
      </c>
      <c r="M9" s="88" t="s">
        <v>78</v>
      </c>
      <c r="N9" s="87"/>
      <c r="O9" s="65"/>
      <c r="P9" s="84"/>
      <c r="Q9" s="74" t="s">
        <v>65</v>
      </c>
      <c r="R9" s="74" t="s">
        <v>103</v>
      </c>
      <c r="S9" s="74" t="s">
        <v>71</v>
      </c>
      <c r="T9" s="74" t="s">
        <v>102</v>
      </c>
      <c r="U9" s="74" t="s">
        <v>123</v>
      </c>
      <c r="W9" s="74" t="s">
        <v>104</v>
      </c>
      <c r="X9" s="74" t="s">
        <v>105</v>
      </c>
      <c r="Y9" s="87"/>
      <c r="Z9" s="65"/>
      <c r="AA9" s="84"/>
      <c r="AB9" s="144" t="s">
        <v>130</v>
      </c>
      <c r="AC9" s="144" t="s">
        <v>129</v>
      </c>
      <c r="AD9" s="144" t="s">
        <v>125</v>
      </c>
      <c r="AE9" s="144" t="s">
        <v>126</v>
      </c>
      <c r="AG9" s="144" t="s">
        <v>131</v>
      </c>
      <c r="AH9" s="144" t="s">
        <v>132</v>
      </c>
      <c r="AI9" s="145" t="s">
        <v>127</v>
      </c>
      <c r="AJ9" s="145" t="s">
        <v>128</v>
      </c>
      <c r="AK9" s="145" t="s">
        <v>154</v>
      </c>
      <c r="AL9" s="144" t="s">
        <v>133</v>
      </c>
      <c r="AM9" s="87"/>
      <c r="AP9" s="66" t="s">
        <v>158</v>
      </c>
    </row>
    <row r="10" spans="1:42">
      <c r="A10" s="65"/>
      <c r="B10" s="84"/>
      <c r="C10" s="89">
        <v>0</v>
      </c>
      <c r="D10" s="89">
        <v>9.8000000000000007</v>
      </c>
      <c r="E10" s="89">
        <v>13.6</v>
      </c>
      <c r="F10" s="89">
        <v>120</v>
      </c>
      <c r="G10" s="80">
        <v>1</v>
      </c>
      <c r="H10" s="65"/>
      <c r="I10" s="90">
        <v>120</v>
      </c>
      <c r="J10" s="90">
        <v>40</v>
      </c>
      <c r="K10" s="91">
        <v>4</v>
      </c>
      <c r="L10" s="79">
        <v>1.3</v>
      </c>
      <c r="M10" s="79">
        <v>0.9</v>
      </c>
      <c r="N10" s="87"/>
      <c r="O10" s="65"/>
      <c r="P10" s="84"/>
      <c r="Q10" s="79">
        <v>4</v>
      </c>
      <c r="R10" s="124">
        <v>3.25</v>
      </c>
      <c r="S10" s="79">
        <v>0.01</v>
      </c>
      <c r="T10" s="124">
        <v>1</v>
      </c>
      <c r="U10" s="141">
        <v>1</v>
      </c>
      <c r="W10" s="124">
        <v>50</v>
      </c>
      <c r="X10" s="124">
        <v>0.375</v>
      </c>
      <c r="Y10" s="87"/>
      <c r="Z10" s="65"/>
      <c r="AA10" s="84"/>
      <c r="AB10" s="79">
        <v>1</v>
      </c>
      <c r="AC10" s="142">
        <f>(2.5/2)*1</f>
        <v>1.25</v>
      </c>
      <c r="AD10" s="79">
        <v>2</v>
      </c>
      <c r="AE10" s="142">
        <v>5</v>
      </c>
      <c r="AG10" s="156">
        <v>10</v>
      </c>
      <c r="AH10" s="143">
        <v>2.875</v>
      </c>
      <c r="AI10" s="143">
        <v>1.68</v>
      </c>
      <c r="AJ10" s="142">
        <f>(AK10/2)^2*2/5</f>
        <v>2.2657600000000003E-4</v>
      </c>
      <c r="AK10" s="163">
        <v>4.7600000000000003E-2</v>
      </c>
      <c r="AL10" s="141">
        <v>1</v>
      </c>
      <c r="AM10" s="87"/>
      <c r="AP10" s="66" t="s">
        <v>156</v>
      </c>
    </row>
    <row r="11" spans="1:42" ht="15" customHeight="1" thickBot="1">
      <c r="A11" s="65"/>
      <c r="B11" s="92"/>
      <c r="C11" s="93"/>
      <c r="D11" s="93"/>
      <c r="E11" s="94"/>
      <c r="F11" s="94"/>
      <c r="G11" s="94"/>
      <c r="H11" s="94"/>
      <c r="I11" s="95"/>
      <c r="J11" s="96"/>
      <c r="K11" s="96"/>
      <c r="L11" s="96"/>
      <c r="M11" s="96"/>
      <c r="N11" s="97"/>
      <c r="O11" s="65"/>
      <c r="P11" s="92"/>
      <c r="Q11" s="93"/>
      <c r="R11" s="93"/>
      <c r="S11" s="93"/>
      <c r="T11" s="94"/>
      <c r="U11" s="94"/>
      <c r="V11" s="94"/>
      <c r="W11" s="94"/>
      <c r="X11" s="94"/>
      <c r="Y11" s="97"/>
      <c r="Z11" s="65"/>
      <c r="AA11" s="92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7"/>
      <c r="AP11" s="66" t="s">
        <v>160</v>
      </c>
    </row>
    <row r="12" spans="1:42" ht="15" customHeight="1">
      <c r="A12" s="65"/>
      <c r="B12" s="68"/>
      <c r="C12" s="69"/>
      <c r="D12" s="98"/>
      <c r="E12" s="70"/>
      <c r="F12" s="70"/>
      <c r="G12" s="70"/>
      <c r="H12" s="70"/>
      <c r="I12" s="99"/>
      <c r="J12" s="100"/>
      <c r="K12" s="100"/>
      <c r="L12" s="100"/>
      <c r="M12" s="100"/>
      <c r="N12" s="71"/>
      <c r="O12" s="65"/>
      <c r="P12" s="68"/>
      <c r="Q12" s="69"/>
      <c r="R12" s="98"/>
      <c r="S12" s="98"/>
      <c r="T12" s="70"/>
      <c r="U12" s="70"/>
      <c r="V12" s="70"/>
      <c r="W12" s="70"/>
      <c r="X12" s="70"/>
      <c r="Y12" s="71"/>
      <c r="Z12" s="65"/>
      <c r="AA12" s="68"/>
      <c r="AM12" s="87"/>
      <c r="AP12" s="66" t="s">
        <v>157</v>
      </c>
    </row>
    <row r="13" spans="1:42" ht="60" customHeight="1">
      <c r="A13" s="72"/>
      <c r="B13" s="73"/>
      <c r="C13" s="101" t="s">
        <v>6</v>
      </c>
      <c r="D13" s="101" t="s">
        <v>7</v>
      </c>
      <c r="E13" s="72"/>
      <c r="F13" s="102" t="s">
        <v>8</v>
      </c>
      <c r="G13" s="102" t="s">
        <v>9</v>
      </c>
      <c r="H13" s="72"/>
      <c r="I13" s="102" t="s">
        <v>22</v>
      </c>
      <c r="J13" s="102" t="s">
        <v>23</v>
      </c>
      <c r="K13" s="102" t="s">
        <v>94</v>
      </c>
      <c r="L13" s="102" t="s">
        <v>95</v>
      </c>
      <c r="M13" s="102" t="s">
        <v>96</v>
      </c>
      <c r="N13" s="76"/>
      <c r="O13" s="72"/>
      <c r="P13" s="73"/>
      <c r="Q13" s="101" t="s">
        <v>6</v>
      </c>
      <c r="R13" s="101" t="s">
        <v>7</v>
      </c>
      <c r="S13" s="72"/>
      <c r="T13" s="102" t="s">
        <v>29</v>
      </c>
      <c r="U13" s="102" t="s">
        <v>30</v>
      </c>
      <c r="W13" s="137" t="s">
        <v>106</v>
      </c>
      <c r="X13" s="101" t="s">
        <v>107</v>
      </c>
      <c r="Y13" s="76"/>
      <c r="Z13" s="72"/>
      <c r="AA13" s="73"/>
      <c r="AB13" s="101" t="s">
        <v>6</v>
      </c>
      <c r="AC13" s="101" t="s">
        <v>7</v>
      </c>
      <c r="AD13" s="74" t="s">
        <v>140</v>
      </c>
      <c r="AE13" s="74" t="s">
        <v>141</v>
      </c>
      <c r="AF13" s="65"/>
      <c r="AG13" s="74" t="s">
        <v>137</v>
      </c>
      <c r="AH13" s="74" t="s">
        <v>136</v>
      </c>
      <c r="AI13" s="74" t="s">
        <v>135</v>
      </c>
      <c r="AJ13" s="144" t="s">
        <v>143</v>
      </c>
      <c r="AK13" s="144" t="s">
        <v>144</v>
      </c>
      <c r="AL13" s="144" t="s">
        <v>139</v>
      </c>
      <c r="AM13" s="76"/>
      <c r="AP13" s="66" t="s">
        <v>159</v>
      </c>
    </row>
    <row r="14" spans="1:42" ht="15" customHeight="1">
      <c r="A14" s="75"/>
      <c r="B14" s="77"/>
      <c r="C14" s="79">
        <v>12</v>
      </c>
      <c r="D14" s="79">
        <v>60</v>
      </c>
      <c r="E14" s="75"/>
      <c r="F14" s="79">
        <v>24</v>
      </c>
      <c r="G14" s="79">
        <v>34</v>
      </c>
      <c r="H14" s="75"/>
      <c r="I14" s="103">
        <f>J14/M$5</f>
        <v>13.517776995211245</v>
      </c>
      <c r="J14" s="104">
        <f>C$7*M$5*((K$10*0.0254/2)*2*PI())/(0.3048*60)*C14/D14*C15/D15*C16/D16*F14/G14</f>
        <v>12.049271973353214</v>
      </c>
      <c r="K14" s="105">
        <f>IF($I$5&gt;0,($L$7-M15*PI()/30*motorK($D$5,$E$5,$F$5))/($J$5+$K$5+$K$6+$K$7),0)</f>
        <v>60.787000729065923</v>
      </c>
      <c r="L14" s="136">
        <f>K14/$J$10</f>
        <v>1.5196750182266481</v>
      </c>
      <c r="M14" s="104">
        <f>(1-$I$26/$M$6*($K$10/2)*0.112984829/I15/($D$7*$G$5))*I14</f>
        <v>6.6251938245171402</v>
      </c>
      <c r="N14" s="81"/>
      <c r="O14" s="75"/>
      <c r="P14" s="77"/>
      <c r="Q14" s="79">
        <v>1</v>
      </c>
      <c r="R14" s="79">
        <v>1</v>
      </c>
      <c r="S14" s="82" t="s">
        <v>27</v>
      </c>
      <c r="T14" s="121">
        <f>Q$6*X5/Q18*(360/60)</f>
        <v>2091.5377777777776</v>
      </c>
      <c r="U14" s="106">
        <f>90/T14</f>
        <v>4.3030539996090071E-2</v>
      </c>
      <c r="W14" s="122">
        <f>((C10+D10+E10+F10)/Q10*G10)*(T10/2*L10+R10/2*S10)*U10</f>
        <v>23.8850625</v>
      </c>
      <c r="X14" s="125">
        <f>((C10+D10+E10+F10)/Q10*G10)*(T10/2*L10+(W10/X10)*R10/2*S10)*U10</f>
        <v>100.97750000000001</v>
      </c>
      <c r="Y14" s="81"/>
      <c r="Z14" s="75"/>
      <c r="AA14" s="84"/>
      <c r="AB14" s="79">
        <v>3</v>
      </c>
      <c r="AC14" s="79">
        <v>1</v>
      </c>
      <c r="AD14" s="149">
        <f>AB7*AC14*AC15*AC16/AB14/AB15/AB16</f>
        <v>1770</v>
      </c>
      <c r="AE14" s="150">
        <f>AC7*AB14*AB15*AB16/AC14/AC15/AC16</f>
        <v>7.2900000000000009</v>
      </c>
      <c r="AF14" s="65"/>
      <c r="AG14" s="80">
        <f>AJ5</f>
        <v>0.95</v>
      </c>
      <c r="AH14" s="149">
        <f>AB7*AC14*AC15*AC16/AB14/AB15/AB16*AG14</f>
        <v>1681.5</v>
      </c>
      <c r="AI14" s="154">
        <f>-(AL22*AD15/AC7)*(LN(AD15-AG14*AD15) - LN(AD15))</f>
        <v>0.26592862950115709</v>
      </c>
      <c r="AJ14" s="147">
        <f>AH10-2*AL5</f>
        <v>2.75</v>
      </c>
      <c r="AK14" s="148">
        <f>AG10*AL5</f>
        <v>0.625</v>
      </c>
      <c r="AL14" s="148">
        <f>AK14*AL10</f>
        <v>0.625</v>
      </c>
      <c r="AM14" s="87"/>
    </row>
    <row r="15" spans="1:42" ht="15" customHeight="1">
      <c r="A15" s="65"/>
      <c r="B15" s="84"/>
      <c r="C15" s="79">
        <v>1</v>
      </c>
      <c r="D15" s="79">
        <v>1</v>
      </c>
      <c r="E15" s="65"/>
      <c r="F15" s="65"/>
      <c r="G15" s="65"/>
      <c r="H15" s="65"/>
      <c r="I15" s="107">
        <f>D14*D15*D16*G14/C14/C15/C16/F14</f>
        <v>7.083333333333333</v>
      </c>
      <c r="J15" s="65" t="s">
        <v>20</v>
      </c>
      <c r="K15" s="108">
        <f>IF($I$6&gt;0,($L$7-M15*PI()/30*motorK($D$6,$E$6,$F$6))/($J$6+$K$5+$K$6+$K$7),0)</f>
        <v>45.747516207258677</v>
      </c>
      <c r="L15" s="136">
        <f>K15/$J$10</f>
        <v>1.143687905181467</v>
      </c>
      <c r="M15" s="132">
        <f>(1-$I$26/I15/$M$6*($K$10/2)*0.112984829/$G$5/$D$7)*$C$7</f>
        <v>2688.8024825901948</v>
      </c>
      <c r="N15" s="87"/>
      <c r="O15" s="65"/>
      <c r="P15" s="84"/>
      <c r="Q15" s="79">
        <v>1</v>
      </c>
      <c r="R15" s="79">
        <v>10</v>
      </c>
      <c r="S15" s="82" t="s">
        <v>100</v>
      </c>
      <c r="T15" s="121">
        <f>$T$14-$T$14/$X$18*W$14</f>
        <v>1616.4601106082896</v>
      </c>
      <c r="U15" s="106">
        <f>90/T15</f>
        <v>5.5677216783365055E-2</v>
      </c>
      <c r="Y15" s="87"/>
      <c r="Z15" s="65"/>
      <c r="AA15" s="84"/>
      <c r="AB15" s="79">
        <v>1</v>
      </c>
      <c r="AC15" s="79">
        <v>1</v>
      </c>
      <c r="AD15" s="153">
        <f>AD14/60*(PI()*2)</f>
        <v>185.35396656179779</v>
      </c>
      <c r="AM15" s="87"/>
    </row>
    <row r="16" spans="1:42" ht="15" customHeight="1">
      <c r="A16" s="65"/>
      <c r="B16" s="84"/>
      <c r="C16" s="79">
        <v>1</v>
      </c>
      <c r="D16" s="79">
        <v>1</v>
      </c>
      <c r="E16" s="65"/>
      <c r="F16" s="65"/>
      <c r="G16" s="65"/>
      <c r="H16" s="65"/>
      <c r="I16" s="109"/>
      <c r="J16" s="65"/>
      <c r="K16" s="105">
        <f>$G$5*($I$5*K14+$I$6*K15)</f>
        <v>334.64303533078106</v>
      </c>
      <c r="L16" s="136">
        <f>K16/I10</f>
        <v>2.788691961089842</v>
      </c>
      <c r="M16" s="110"/>
      <c r="N16" s="87"/>
      <c r="O16" s="65"/>
      <c r="P16" s="84"/>
      <c r="Q16" s="79">
        <v>14</v>
      </c>
      <c r="R16" s="79">
        <v>54</v>
      </c>
      <c r="S16" s="82" t="s">
        <v>101</v>
      </c>
      <c r="T16" s="121">
        <f>$T$14-$T$14/$X$18*X$14</f>
        <v>83.079347467747539</v>
      </c>
      <c r="U16" s="106">
        <f>90/T16</f>
        <v>1.0833017199002333</v>
      </c>
      <c r="Y16" s="87"/>
      <c r="Z16" s="65"/>
      <c r="AA16" s="84"/>
      <c r="AB16" s="79">
        <v>1</v>
      </c>
      <c r="AC16" s="79">
        <v>1</v>
      </c>
      <c r="AM16" s="87"/>
    </row>
    <row r="17" spans="1:42" ht="60" customHeight="1">
      <c r="A17" s="65"/>
      <c r="B17" s="84"/>
      <c r="C17" s="111"/>
      <c r="D17" s="65"/>
      <c r="E17" s="65"/>
      <c r="F17" s="112" t="s">
        <v>72</v>
      </c>
      <c r="G17" s="112" t="s">
        <v>73</v>
      </c>
      <c r="H17" s="65"/>
      <c r="I17" s="112" t="s">
        <v>74</v>
      </c>
      <c r="J17" s="112" t="s">
        <v>75</v>
      </c>
      <c r="K17" s="112" t="s">
        <v>94</v>
      </c>
      <c r="L17" s="112" t="s">
        <v>95</v>
      </c>
      <c r="M17" s="112" t="s">
        <v>98</v>
      </c>
      <c r="N17" s="87"/>
      <c r="O17" s="65"/>
      <c r="P17" s="84"/>
      <c r="T17" s="102" t="s">
        <v>118</v>
      </c>
      <c r="U17" s="102" t="s">
        <v>116</v>
      </c>
      <c r="X17" s="137" t="s">
        <v>99</v>
      </c>
      <c r="Y17" s="87"/>
      <c r="Z17" s="65"/>
      <c r="AA17" s="84"/>
      <c r="AB17" s="74" t="s">
        <v>145</v>
      </c>
      <c r="AC17" s="74" t="s">
        <v>145</v>
      </c>
      <c r="AD17" s="74" t="s">
        <v>145</v>
      </c>
      <c r="AE17" s="74" t="s">
        <v>146</v>
      </c>
      <c r="AG17" s="145" t="s">
        <v>150</v>
      </c>
      <c r="AH17" s="145" t="s">
        <v>150</v>
      </c>
      <c r="AI17" s="145" t="s">
        <v>142</v>
      </c>
      <c r="AJ17" s="145" t="s">
        <v>142</v>
      </c>
      <c r="AK17" s="145" t="s">
        <v>153</v>
      </c>
      <c r="AL17" s="144" t="s">
        <v>155</v>
      </c>
      <c r="AM17" s="87"/>
      <c r="AP17" s="166" t="e">
        <f>AH10/2-SQRT((AH10/2)^2-4*AE14/AL10/AG10)/2</f>
        <v>#NUM!</v>
      </c>
    </row>
    <row r="18" spans="1:42" ht="15" customHeight="1">
      <c r="A18" s="65"/>
      <c r="B18" s="84"/>
      <c r="C18" s="113">
        <f>IF(ISNUMBER(I14/I18), I14/I18, 1)</f>
        <v>2.2184873949579829</v>
      </c>
      <c r="D18" s="65" t="s">
        <v>83</v>
      </c>
      <c r="E18" s="65"/>
      <c r="F18" s="79">
        <v>14</v>
      </c>
      <c r="G18" s="79">
        <f>F14+G14-F18</f>
        <v>44</v>
      </c>
      <c r="H18" s="65"/>
      <c r="I18" s="103">
        <f>J18/M$5</f>
        <v>6.0932403879929486</v>
      </c>
      <c r="J18" s="104">
        <f>C$7*M$5*K$10*0.0254/2*2*PI()/(0.3048*60)*C14/D14*C15/D15*C16/D16*F18/G18</f>
        <v>5.4313006243523967</v>
      </c>
      <c r="K18" s="105">
        <f>IF($I$5&gt;0,($L$7-M19*PI()/30*motorK($D$5,$E$5,$F$5))/($J$5+$K$5+$K$6+$K$7),0)</f>
        <v>33.76149118743951</v>
      </c>
      <c r="L18" s="136">
        <f>K18/$J$10</f>
        <v>0.84403727968598774</v>
      </c>
      <c r="M18" s="104">
        <f>(1-$I$26/$M$6*($K$10/2)*0.112984829/I19/($D$7*$G$5))*I18</f>
        <v>4.6927888516034972</v>
      </c>
      <c r="N18" s="87"/>
      <c r="O18" s="65"/>
      <c r="P18" s="84"/>
      <c r="Q18" s="114">
        <f>R14*R15*R16/Q14/Q15/Q16</f>
        <v>38.571428571428569</v>
      </c>
      <c r="R18" s="115" t="s">
        <v>117</v>
      </c>
      <c r="T18" s="116">
        <f>(L7-Q6*(1-W14/X18)*PI()/30*motorK(R5,S5,T5))/W6</f>
        <v>9.3128532321535431</v>
      </c>
      <c r="U18" s="116">
        <f>(L7-Q6*(1-X14/X18)*PI()/30*motorK(R5,S5,T5))/W6</f>
        <v>39.371412038372689</v>
      </c>
      <c r="X18" s="123">
        <f>R6*Q18*U5*8.85074571515485*X6</f>
        <v>105.15440736453505</v>
      </c>
      <c r="Y18" s="87"/>
      <c r="Z18" s="65"/>
      <c r="AA18" s="84"/>
      <c r="AB18" s="149">
        <f>(1-AE18/AE14)*AD14</f>
        <v>1561.3451646090537</v>
      </c>
      <c r="AC18" s="153">
        <f>AB18/60*(PI()*2)</f>
        <v>163.50368329512497</v>
      </c>
      <c r="AD18" s="159">
        <f>AB18/AD14</f>
        <v>0.88211591220850494</v>
      </c>
      <c r="AE18" s="157">
        <f>AL14*AJ14/2</f>
        <v>0.859375</v>
      </c>
      <c r="AG18" s="134">
        <f>AB18*AJ14/(2*AI10)</f>
        <v>1277.8866674627673</v>
      </c>
      <c r="AH18" s="153">
        <f>AG18/60*(PI()*2)</f>
        <v>133.81997888737908</v>
      </c>
      <c r="AI18" s="158">
        <f>AC18*AJ14/4</f>
        <v>112.40878226539841</v>
      </c>
      <c r="AJ18" s="161">
        <f>AI18/12</f>
        <v>9.3673985221165346</v>
      </c>
      <c r="AK18" s="164">
        <f>1/2*AK10*(AJ18*0.3048)^2 + 1/2*AJ10*AH18^2</f>
        <v>2.2227566198502755</v>
      </c>
      <c r="AL18" s="165">
        <f>1/2*((AC10*AB10+AD10*AE10)*0.000292639653+(AG5*AK5+AG6*AK6)*AB14*AB15*AB16/AC14/AC15/AC16)*AD15^2</f>
        <v>59.973792702024994</v>
      </c>
      <c r="AM18" s="87"/>
    </row>
    <row r="19" spans="1:42" ht="15" customHeight="1" thickBot="1">
      <c r="A19" s="65"/>
      <c r="B19" s="84"/>
      <c r="C19" s="113">
        <f>IF(ISNUMBER(I18/I22),I18/I22,1)</f>
        <v>1</v>
      </c>
      <c r="D19" s="65" t="s">
        <v>83</v>
      </c>
      <c r="E19" s="65"/>
      <c r="F19" s="65"/>
      <c r="G19" s="65"/>
      <c r="H19" s="65"/>
      <c r="I19" s="107">
        <f>D14*D15*D16*G18/C14/C15/C16/F18</f>
        <v>15.714285714285714</v>
      </c>
      <c r="J19" s="66" t="s">
        <v>82</v>
      </c>
      <c r="K19" s="108">
        <f>IF($I$6&gt;0,($L$7-M19*PI()/30*motorK($D$6,$E$6,$F$6))/($J$6+$K$5+$K$6+$K$7),0)</f>
        <v>29.121877970936286</v>
      </c>
      <c r="L19" s="136">
        <f>K19/$J$10</f>
        <v>0.72804694927340718</v>
      </c>
      <c r="M19" s="132">
        <f>(1-$I$26/I19/$M$6*($K$10/2)*0.112984829/$G$5/$D$7)*$C$7</f>
        <v>4225.2099268173888</v>
      </c>
      <c r="N19" s="87"/>
      <c r="O19" s="65"/>
      <c r="P19" s="92"/>
      <c r="Q19" s="94"/>
      <c r="R19" s="94"/>
      <c r="S19" s="94"/>
      <c r="T19" s="94"/>
      <c r="U19" s="94"/>
      <c r="V19" s="94"/>
      <c r="W19" s="94"/>
      <c r="X19" s="94"/>
      <c r="Y19" s="97"/>
      <c r="Z19" s="65"/>
      <c r="AA19" s="84"/>
      <c r="AM19" s="87"/>
    </row>
    <row r="20" spans="1:42" ht="15" customHeight="1">
      <c r="A20" s="65"/>
      <c r="B20" s="84"/>
      <c r="C20" s="113">
        <f>C18*C19</f>
        <v>2.2184873949579829</v>
      </c>
      <c r="D20" s="65" t="s">
        <v>84</v>
      </c>
      <c r="E20" s="65"/>
      <c r="F20" s="65"/>
      <c r="G20" s="65"/>
      <c r="H20" s="65"/>
      <c r="I20" s="107"/>
      <c r="J20" s="107"/>
      <c r="K20" s="105">
        <f>$G$5*($I$5*K18+$I$6*K19)</f>
        <v>193.28972069163061</v>
      </c>
      <c r="L20" s="136">
        <f>K20/I10</f>
        <v>1.610747672430255</v>
      </c>
      <c r="M20" s="110"/>
      <c r="N20" s="87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84"/>
      <c r="AM20" s="87"/>
      <c r="AN20" s="155"/>
    </row>
    <row r="21" spans="1:42" ht="60" customHeight="1">
      <c r="A21" s="65"/>
      <c r="B21" s="84"/>
      <c r="C21" s="111"/>
      <c r="D21" s="65"/>
      <c r="E21" s="65"/>
      <c r="F21" s="117" t="s">
        <v>10</v>
      </c>
      <c r="G21" s="117" t="s">
        <v>11</v>
      </c>
      <c r="H21" s="65"/>
      <c r="I21" s="117" t="s">
        <v>24</v>
      </c>
      <c r="J21" s="117" t="s">
        <v>25</v>
      </c>
      <c r="K21" s="117" t="s">
        <v>94</v>
      </c>
      <c r="L21" s="117" t="s">
        <v>95</v>
      </c>
      <c r="M21" s="117" t="s">
        <v>97</v>
      </c>
      <c r="N21" s="87"/>
      <c r="O21" s="65"/>
      <c r="Z21" s="65"/>
      <c r="AA21" s="84"/>
      <c r="AB21" s="74" t="s">
        <v>148</v>
      </c>
      <c r="AC21" s="88" t="s">
        <v>149</v>
      </c>
      <c r="AD21" s="88" t="s">
        <v>151</v>
      </c>
      <c r="AL21" s="144" t="s">
        <v>138</v>
      </c>
      <c r="AM21" s="87"/>
    </row>
    <row r="22" spans="1:42" ht="15" customHeight="1">
      <c r="A22" s="65"/>
      <c r="B22" s="84"/>
      <c r="E22" s="65"/>
      <c r="F22" s="79">
        <v>0</v>
      </c>
      <c r="G22" s="79">
        <f>F14+G14-F22</f>
        <v>58</v>
      </c>
      <c r="H22" s="65"/>
      <c r="I22" s="103">
        <f>J22/M$5</f>
        <v>0</v>
      </c>
      <c r="J22" s="104">
        <f>C$7*M$5*K$10*0.0254/2*2*PI()/(0.3048*60)*C14/D14*C15/D15*C16/D16*F22/G22</f>
        <v>0</v>
      </c>
      <c r="K22" s="105" t="e">
        <f>IF($I$5&gt;0,($L$7-M23*PI()/30*motorK($D$5,$E$5,$F$5))/($J$5+$K$5+$K$6+$K$7),0)</f>
        <v>#DIV/0!</v>
      </c>
      <c r="L22" s="136" t="e">
        <f>K22/$J$10</f>
        <v>#DIV/0!</v>
      </c>
      <c r="M22" s="104" t="e">
        <f>(1-$I$26/$M$6*($K$10/2)*0.112984829/I23/($D$7*$G$5))*I22</f>
        <v>#DIV/0!</v>
      </c>
      <c r="N22" s="87"/>
      <c r="O22" s="65"/>
      <c r="AA22" s="84"/>
      <c r="AB22" s="149">
        <f>AB18*AB14*AB15*AB16/AC14/AC15/AC16</f>
        <v>4684.0354938271612</v>
      </c>
      <c r="AC22" s="160">
        <f>IF($AG$5&gt;0,($L$7-AB22*PI()/30*motorK($AC$5,$AD$5,$AE$5))/($J$5+$K$5+$K$6+$K$7),0)</f>
        <v>25.690718824447014</v>
      </c>
      <c r="AD22" s="162">
        <f>AC18*AE18</f>
        <v>140.51097783174802</v>
      </c>
      <c r="AI22" s="66" t="s">
        <v>152</v>
      </c>
      <c r="AL22" s="152">
        <f>(AD10*AE10+AC10*AB10)*0.000292639653*AC14*AC15*AC16/AB14/AB15/AB16+AK5*AG5+AK6*AG6</f>
        <v>1.1637682014917882E-3</v>
      </c>
      <c r="AM22" s="87"/>
    </row>
    <row r="23" spans="1:42" ht="15" customHeight="1" thickBot="1">
      <c r="A23" s="65"/>
      <c r="B23" s="84"/>
      <c r="E23" s="65"/>
      <c r="F23" s="65"/>
      <c r="G23" s="65"/>
      <c r="H23" s="65"/>
      <c r="I23" s="107" t="e">
        <f>D14*D15*D16*G22/C14/C15/C16/F22</f>
        <v>#DIV/0!</v>
      </c>
      <c r="J23" s="66" t="s">
        <v>21</v>
      </c>
      <c r="K23" s="108" t="e">
        <f>IF($I$6&gt;0,($L$7-M23*PI()/30*motorK($D$6,$E$6,$F$6))/($J$6+$K$5+$K$6+$K$7),0)</f>
        <v>#DIV/0!</v>
      </c>
      <c r="L23" s="136" t="e">
        <f>K23/$J$10</f>
        <v>#DIV/0!</v>
      </c>
      <c r="M23" s="132" t="e">
        <f>(1-$I$26/I23/$M$6*($K$10/2)*0.112984829/$G$5/$D$7)*$C$7</f>
        <v>#DIV/0!</v>
      </c>
      <c r="N23" s="87"/>
      <c r="O23" s="65"/>
      <c r="T23" s="127"/>
      <c r="AA23" s="92"/>
      <c r="AB23" s="94"/>
      <c r="AC23" s="94"/>
      <c r="AD23" s="94"/>
      <c r="AE23" s="94"/>
      <c r="AF23" s="94"/>
      <c r="AG23" s="94"/>
      <c r="AH23" s="94"/>
      <c r="AI23" s="94"/>
      <c r="AJ23" s="119"/>
      <c r="AK23" s="94"/>
      <c r="AL23" s="94"/>
      <c r="AM23" s="97"/>
    </row>
    <row r="24" spans="1:42" ht="15" customHeight="1">
      <c r="A24" s="65"/>
      <c r="B24" s="84"/>
      <c r="C24" s="113"/>
      <c r="D24" s="65"/>
      <c r="E24" s="65"/>
      <c r="F24" s="65"/>
      <c r="G24" s="65"/>
      <c r="H24" s="65"/>
      <c r="I24" s="107"/>
      <c r="K24" s="105" t="e">
        <f>$G$5*($I$5*K22+$I$6*K23)</f>
        <v>#DIV/0!</v>
      </c>
      <c r="L24" s="136" t="e">
        <f>K24/I10</f>
        <v>#DIV/0!</v>
      </c>
      <c r="M24" s="110"/>
      <c r="N24" s="87"/>
      <c r="O24" s="65"/>
    </row>
    <row r="25" spans="1:42" ht="60" customHeight="1">
      <c r="A25" s="65"/>
      <c r="B25" s="84"/>
      <c r="C25" s="101" t="s">
        <v>112</v>
      </c>
      <c r="H25" s="65"/>
      <c r="I25" s="101" t="s">
        <v>85</v>
      </c>
      <c r="J25" s="101" t="s">
        <v>86</v>
      </c>
      <c r="K25" s="117" t="s">
        <v>113</v>
      </c>
      <c r="L25" s="112" t="s">
        <v>114</v>
      </c>
      <c r="M25" s="102" t="s">
        <v>92</v>
      </c>
      <c r="N25" s="87"/>
      <c r="O25" s="65"/>
    </row>
    <row r="26" spans="1:42">
      <c r="A26" s="65"/>
      <c r="B26" s="84"/>
      <c r="C26" s="129">
        <f>L7/(K5+K6)</f>
        <v>600</v>
      </c>
      <c r="H26" s="65"/>
      <c r="I26" s="118">
        <f>(C$10+D$10+E$10+F$10)*G$10*L10</f>
        <v>186.42000000000002</v>
      </c>
      <c r="J26" s="118">
        <f>(C$10+D$10+E$10+F$10)*G$10*M10</f>
        <v>129.06</v>
      </c>
      <c r="K26" s="118" t="e">
        <f>pushingForce(D5,D6,F5,F6,E5,E6,I5,I6,G5,J5,J6,L5,L6,L7,I23,M6,J10,K10)</f>
        <v>#VALUE!</v>
      </c>
      <c r="L26" s="118">
        <f>pushingForce(D5,D6,F5,F6,E5,E6,I5,I6,G5,J5,J6,L5,L6,L7,I19,M6,J10,K10)</f>
        <v>277.65477222195642</v>
      </c>
      <c r="M26" s="118">
        <f>pushingForce(D5,D6,F5,F6,E5,E6,I5,I6,G5,J5,J6,L5,L6,L7,I15,M6,J10,K10)</f>
        <v>125.15499202429098</v>
      </c>
      <c r="N26" s="87"/>
      <c r="O26" s="65"/>
    </row>
    <row r="27" spans="1:42" ht="15" customHeight="1" thickBot="1">
      <c r="A27" s="65"/>
      <c r="B27" s="92"/>
      <c r="C27" s="94"/>
      <c r="D27" s="94"/>
      <c r="E27" s="94"/>
      <c r="F27" s="94"/>
      <c r="G27" s="94"/>
      <c r="H27" s="94"/>
      <c r="I27" s="94"/>
      <c r="J27" s="94"/>
      <c r="K27" s="94"/>
      <c r="L27" s="119"/>
      <c r="M27" s="94"/>
      <c r="N27" s="97"/>
      <c r="O27" s="65"/>
    </row>
    <row r="28" spans="1:42">
      <c r="O28" s="65"/>
    </row>
    <row r="29" spans="1:42">
      <c r="K29" s="120"/>
    </row>
  </sheetData>
  <conditionalFormatting sqref="K16 K20 K24">
    <cfRule type="cellIs" dxfId="1" priority="4" operator="greaterThan">
      <formula>$C$26</formula>
    </cfRule>
  </conditionalFormatting>
  <conditionalFormatting sqref="L14:L16 L18:L20 L22:L24">
    <cfRule type="dataBar" priority="3">
      <dataBar>
        <cfvo type="min"/>
        <cfvo type="max"/>
        <color rgb="FFFEB2C1"/>
      </dataBar>
      <extLst>
        <ext xmlns:x14="http://schemas.microsoft.com/office/spreadsheetml/2009/9/main" uri="{B025F937-C7B1-47D3-B67F-A62EFF666E3E}">
          <x14:id>{408EE736-FA2B-BC48-A430-BBA8265F7BA2}</x14:id>
        </ext>
      </extLst>
    </cfRule>
  </conditionalFormatting>
  <pageMargins left="0.75" right="0.75" top="1" bottom="1" header="0.5" footer="0.5"/>
  <pageSetup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8EE736-FA2B-BC48-A430-BBA8265F7BA2}">
            <x14:dataBar minLength="0" maxLength="100" negativeBarColorSameAsPositive="1">
              <x14:cfvo type="autoMin"/>
              <x14:cfvo type="autoMax"/>
              <x14:axisColor rgb="FF000000"/>
            </x14:dataBar>
          </x14:cfRule>
          <xm:sqref>L14:L16 L18:L20 L22:L24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3366FF"/>
  </sheetPr>
  <dimension ref="A1:Z32"/>
  <sheetViews>
    <sheetView topLeftCell="A4" workbookViewId="0">
      <selection activeCell="K18" sqref="K18"/>
    </sheetView>
  </sheetViews>
  <sheetFormatPr baseColWidth="10" defaultColWidth="10.83203125" defaultRowHeight="15" x14ac:dyDescent="0"/>
  <cols>
    <col min="1" max="2" width="3.5" style="66" customWidth="1"/>
    <col min="3" max="7" width="12" style="66" customWidth="1"/>
    <col min="8" max="8" width="3.5" style="66" customWidth="1"/>
    <col min="9" max="13" width="12" style="66" customWidth="1"/>
    <col min="14" max="16" width="3.5" style="66" customWidth="1"/>
    <col min="17" max="21" width="12" style="66" customWidth="1"/>
    <col min="22" max="22" width="3.5" style="66" customWidth="1"/>
    <col min="23" max="24" width="12" style="66" customWidth="1"/>
    <col min="25" max="25" width="3.5" style="66" customWidth="1"/>
    <col min="26" max="16384" width="10.83203125" style="66"/>
  </cols>
  <sheetData>
    <row r="1" spans="1:26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</row>
    <row r="2" spans="1:26" ht="16" thickBot="1">
      <c r="A2" s="65"/>
      <c r="B2" s="67" t="s">
        <v>76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7" t="s">
        <v>63</v>
      </c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26">
      <c r="A3" s="65"/>
      <c r="B3" s="68"/>
      <c r="C3" s="69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65"/>
      <c r="P3" s="68"/>
      <c r="Q3" s="69"/>
      <c r="R3" s="70"/>
      <c r="S3" s="70"/>
      <c r="T3" s="70"/>
      <c r="U3" s="70"/>
      <c r="V3" s="70"/>
      <c r="W3" s="70"/>
      <c r="X3" s="70"/>
      <c r="Y3" s="71"/>
      <c r="Z3" s="65"/>
    </row>
    <row r="4" spans="1:26" ht="60" customHeight="1">
      <c r="A4" s="72"/>
      <c r="B4" s="73"/>
      <c r="C4" s="74" t="s">
        <v>111</v>
      </c>
      <c r="D4" s="74" t="s">
        <v>99</v>
      </c>
      <c r="E4" s="74" t="s">
        <v>110</v>
      </c>
      <c r="F4" s="74" t="s">
        <v>109</v>
      </c>
      <c r="G4" s="74" t="s">
        <v>18</v>
      </c>
      <c r="H4" s="72"/>
      <c r="I4" s="74" t="s">
        <v>120</v>
      </c>
      <c r="J4" s="74" t="s">
        <v>122</v>
      </c>
      <c r="K4" s="74" t="s">
        <v>121</v>
      </c>
      <c r="L4" s="74" t="s">
        <v>119</v>
      </c>
      <c r="M4" s="74" t="s">
        <v>108</v>
      </c>
      <c r="N4" s="76"/>
      <c r="O4" s="72"/>
      <c r="P4" s="73"/>
      <c r="Q4" s="74" t="s">
        <v>0</v>
      </c>
      <c r="R4" s="74" t="s">
        <v>1</v>
      </c>
      <c r="S4" s="74" t="s">
        <v>2</v>
      </c>
      <c r="T4" s="74" t="s">
        <v>3</v>
      </c>
      <c r="U4" s="74" t="s">
        <v>19</v>
      </c>
      <c r="W4" s="74" t="s">
        <v>115</v>
      </c>
      <c r="X4" s="74" t="s">
        <v>108</v>
      </c>
      <c r="Y4" s="76"/>
      <c r="Z4" s="72"/>
    </row>
    <row r="5" spans="1:26">
      <c r="A5" s="75"/>
      <c r="B5" s="77" t="s">
        <v>79</v>
      </c>
      <c r="C5" s="133">
        <v>5310</v>
      </c>
      <c r="D5" s="130">
        <v>2.4300000000000002</v>
      </c>
      <c r="E5" s="128">
        <v>133</v>
      </c>
      <c r="F5" s="128">
        <v>2.7</v>
      </c>
      <c r="G5" s="78">
        <v>2</v>
      </c>
      <c r="H5" s="75"/>
      <c r="I5" s="79">
        <v>3</v>
      </c>
      <c r="J5" s="140">
        <f>L5/E5</f>
        <v>9.0225563909774431E-2</v>
      </c>
      <c r="K5" s="139">
        <v>1.7000000000000001E-2</v>
      </c>
      <c r="L5" s="126">
        <v>12</v>
      </c>
      <c r="M5" s="80">
        <v>0.8913649025</v>
      </c>
      <c r="N5" s="81"/>
      <c r="O5" s="75"/>
      <c r="P5" s="77"/>
      <c r="Q5" s="63">
        <v>14000</v>
      </c>
      <c r="R5" s="138">
        <f>(W5 - T5*W6)/(Q5*PI()/30)*S5</f>
        <v>0.320856365273261</v>
      </c>
      <c r="S5" s="64">
        <v>41</v>
      </c>
      <c r="T5" s="64">
        <v>1.8</v>
      </c>
      <c r="U5" s="79">
        <v>1</v>
      </c>
      <c r="W5" s="126">
        <v>12</v>
      </c>
      <c r="X5" s="80">
        <f>0.98^2</f>
        <v>0.96039999999999992</v>
      </c>
      <c r="Y5" s="81"/>
      <c r="Z5" s="75"/>
    </row>
    <row r="6" spans="1:26">
      <c r="A6" s="75"/>
      <c r="B6" s="77" t="s">
        <v>80</v>
      </c>
      <c r="C6" s="133">
        <v>6200</v>
      </c>
      <c r="D6" s="130">
        <v>1.4</v>
      </c>
      <c r="E6" s="128">
        <v>86</v>
      </c>
      <c r="F6" s="128">
        <v>1.5</v>
      </c>
      <c r="H6" s="75"/>
      <c r="I6" s="79">
        <v>0</v>
      </c>
      <c r="J6" s="140">
        <f>L6/E6</f>
        <v>0.13953488372093023</v>
      </c>
      <c r="K6" s="139">
        <v>3.0000000000000001E-3</v>
      </c>
      <c r="L6" s="126">
        <v>12</v>
      </c>
      <c r="M6" s="80">
        <f>0.98*0.98*0.97</f>
        <v>0.93158799999999986</v>
      </c>
      <c r="N6" s="81"/>
      <c r="O6" s="75"/>
      <c r="P6" s="77"/>
      <c r="Q6" s="134">
        <f>freeSpeed(Q5,1,R5,1,T5,1,U5,0,W6,1,W5,1,L7)</f>
        <v>14000</v>
      </c>
      <c r="R6" s="135">
        <f>stallTorque(R5,1,T5,1,U5,0,W6,1,W5,1,L7)</f>
        <v>0.320856365273261</v>
      </c>
      <c r="S6" s="129">
        <f>stallCurrent(S5,1,T5,1,U5,0,W6,1,W5,1,L7)</f>
        <v>41</v>
      </c>
      <c r="T6" s="129">
        <f>freeCurrent(T5,1,U5,0,W6,1,W5,1,L7)</f>
        <v>1.8</v>
      </c>
      <c r="U6" s="83"/>
      <c r="W6" s="140">
        <f>W5/S5</f>
        <v>0.29268292682926828</v>
      </c>
      <c r="X6" s="80">
        <v>0.96</v>
      </c>
      <c r="Y6" s="81"/>
      <c r="Z6" s="75"/>
    </row>
    <row r="7" spans="1:26">
      <c r="A7" s="75"/>
      <c r="B7" s="77"/>
      <c r="C7" s="134">
        <f>freeSpeed(C5,C6,D5,D6,F5,F6,I5,I6,J5,J6,L5,L6,L7)</f>
        <v>5310</v>
      </c>
      <c r="D7" s="135">
        <f>stallTorque(D5,D6,F5,F6,I5,I6,J5,J6,L5,L6,L7)</f>
        <v>7.2900000000000009</v>
      </c>
      <c r="E7" s="129">
        <f>stallCurrent(E5,E6,F5,F6,I5,I6,J5,J6,L5,L6,L7)</f>
        <v>399</v>
      </c>
      <c r="F7" s="129">
        <f>freeCurrent(F5,F6,I5,I6,J5,J6,L5,L6,L7)</f>
        <v>8.1000000000000014</v>
      </c>
      <c r="H7" s="75"/>
      <c r="I7" s="65"/>
      <c r="J7" s="131"/>
      <c r="K7" s="139">
        <f>800*10^-6</f>
        <v>7.9999999999999993E-4</v>
      </c>
      <c r="L7" s="126">
        <v>12</v>
      </c>
      <c r="N7" s="81"/>
      <c r="O7" s="75"/>
      <c r="P7" s="77"/>
      <c r="Q7" s="82"/>
      <c r="Y7" s="81"/>
      <c r="Z7" s="75"/>
    </row>
    <row r="8" spans="1:26">
      <c r="A8" s="65"/>
      <c r="B8" s="84"/>
      <c r="C8" s="85"/>
      <c r="D8" s="85"/>
      <c r="E8" s="86"/>
      <c r="F8" s="86"/>
      <c r="G8" s="65"/>
      <c r="H8" s="65"/>
      <c r="I8" s="65"/>
      <c r="J8" s="65"/>
      <c r="K8" s="65"/>
      <c r="L8" s="75"/>
      <c r="M8" s="75"/>
      <c r="N8" s="87"/>
      <c r="O8" s="65"/>
      <c r="P8" s="84"/>
      <c r="Q8" s="85"/>
      <c r="R8" s="85"/>
      <c r="S8" s="85"/>
      <c r="T8" s="86"/>
      <c r="U8" s="86"/>
      <c r="V8" s="86"/>
      <c r="W8" s="65"/>
      <c r="X8" s="65"/>
      <c r="Y8" s="87"/>
      <c r="Z8" s="65"/>
    </row>
    <row r="9" spans="1:26" ht="60" customHeight="1">
      <c r="A9" s="65"/>
      <c r="B9" s="84"/>
      <c r="C9" s="74" t="s">
        <v>90</v>
      </c>
      <c r="D9" s="74" t="s">
        <v>89</v>
      </c>
      <c r="E9" s="74" t="s">
        <v>88</v>
      </c>
      <c r="F9" s="74" t="s">
        <v>87</v>
      </c>
      <c r="G9" s="74" t="s">
        <v>5</v>
      </c>
      <c r="H9" s="65"/>
      <c r="I9" s="74" t="s">
        <v>81</v>
      </c>
      <c r="J9" s="74" t="s">
        <v>93</v>
      </c>
      <c r="K9" s="88" t="s">
        <v>91</v>
      </c>
      <c r="L9" s="88" t="s">
        <v>77</v>
      </c>
      <c r="M9" s="88" t="s">
        <v>78</v>
      </c>
      <c r="N9" s="87"/>
      <c r="O9" s="65"/>
      <c r="P9" s="84"/>
      <c r="Q9" s="74" t="s">
        <v>65</v>
      </c>
      <c r="R9" s="74" t="s">
        <v>103</v>
      </c>
      <c r="S9" s="74" t="s">
        <v>71</v>
      </c>
      <c r="T9" s="74" t="s">
        <v>102</v>
      </c>
      <c r="U9" s="74" t="s">
        <v>123</v>
      </c>
      <c r="W9" s="74" t="s">
        <v>104</v>
      </c>
      <c r="X9" s="74" t="s">
        <v>105</v>
      </c>
      <c r="Y9" s="87"/>
      <c r="Z9" s="65"/>
    </row>
    <row r="10" spans="1:26">
      <c r="A10" s="65"/>
      <c r="B10" s="84"/>
      <c r="C10" s="89">
        <v>0</v>
      </c>
      <c r="D10" s="89">
        <v>9.8000000000000007</v>
      </c>
      <c r="E10" s="89">
        <v>13.6</v>
      </c>
      <c r="F10" s="89">
        <v>120</v>
      </c>
      <c r="G10" s="80">
        <v>1</v>
      </c>
      <c r="H10" s="65"/>
      <c r="I10" s="90">
        <v>120</v>
      </c>
      <c r="J10" s="90">
        <v>40</v>
      </c>
      <c r="K10" s="91">
        <v>4</v>
      </c>
      <c r="L10" s="79">
        <v>1.3</v>
      </c>
      <c r="M10" s="79">
        <v>0.8</v>
      </c>
      <c r="N10" s="87"/>
      <c r="O10" s="65"/>
      <c r="P10" s="84"/>
      <c r="Q10" s="79">
        <v>4</v>
      </c>
      <c r="R10" s="124">
        <v>3.25</v>
      </c>
      <c r="S10" s="79">
        <v>0.01</v>
      </c>
      <c r="T10" s="124">
        <v>1</v>
      </c>
      <c r="U10" s="141">
        <v>1</v>
      </c>
      <c r="W10" s="124">
        <v>50</v>
      </c>
      <c r="X10" s="124">
        <v>0.375</v>
      </c>
      <c r="Y10" s="87"/>
      <c r="Z10" s="65"/>
    </row>
    <row r="11" spans="1:26" ht="15" customHeight="1" thickBot="1">
      <c r="A11" s="65"/>
      <c r="B11" s="92"/>
      <c r="C11" s="93"/>
      <c r="D11" s="93"/>
      <c r="E11" s="94"/>
      <c r="F11" s="94"/>
      <c r="G11" s="94"/>
      <c r="H11" s="94"/>
      <c r="I11" s="95"/>
      <c r="J11" s="96"/>
      <c r="K11" s="96"/>
      <c r="L11" s="96"/>
      <c r="M11" s="96"/>
      <c r="N11" s="97"/>
      <c r="O11" s="65"/>
      <c r="P11" s="92"/>
      <c r="Q11" s="93"/>
      <c r="R11" s="93"/>
      <c r="S11" s="93"/>
      <c r="T11" s="94"/>
      <c r="U11" s="94"/>
      <c r="V11" s="94"/>
      <c r="W11" s="94"/>
      <c r="X11" s="94"/>
      <c r="Y11" s="97"/>
      <c r="Z11" s="65"/>
    </row>
    <row r="12" spans="1:26">
      <c r="A12" s="65"/>
      <c r="B12" s="68"/>
      <c r="C12" s="69"/>
      <c r="D12" s="98"/>
      <c r="E12" s="70"/>
      <c r="F12" s="70"/>
      <c r="G12" s="70"/>
      <c r="H12" s="70"/>
      <c r="I12" s="99"/>
      <c r="J12" s="100"/>
      <c r="K12" s="100"/>
      <c r="L12" s="100"/>
      <c r="M12" s="100"/>
      <c r="N12" s="71"/>
      <c r="O12" s="65"/>
      <c r="P12" s="68"/>
      <c r="Q12" s="69"/>
      <c r="R12" s="98"/>
      <c r="S12" s="98"/>
      <c r="T12" s="70"/>
      <c r="U12" s="70"/>
      <c r="V12" s="70"/>
      <c r="W12" s="70"/>
      <c r="X12" s="70"/>
      <c r="Y12" s="71"/>
      <c r="Z12" s="65"/>
    </row>
    <row r="13" spans="1:26" ht="60" customHeight="1">
      <c r="A13" s="72"/>
      <c r="B13" s="73"/>
      <c r="C13" s="101" t="s">
        <v>6</v>
      </c>
      <c r="D13" s="101" t="s">
        <v>7</v>
      </c>
      <c r="E13" s="72"/>
      <c r="F13" s="102" t="s">
        <v>8</v>
      </c>
      <c r="G13" s="102" t="s">
        <v>9</v>
      </c>
      <c r="H13" s="72"/>
      <c r="I13" s="102" t="s">
        <v>22</v>
      </c>
      <c r="J13" s="102" t="s">
        <v>23</v>
      </c>
      <c r="K13" s="102" t="s">
        <v>94</v>
      </c>
      <c r="L13" s="102" t="s">
        <v>95</v>
      </c>
      <c r="M13" s="102" t="s">
        <v>96</v>
      </c>
      <c r="N13" s="76"/>
      <c r="O13" s="72"/>
      <c r="P13" s="73"/>
      <c r="Q13" s="101" t="s">
        <v>6</v>
      </c>
      <c r="R13" s="101" t="s">
        <v>7</v>
      </c>
      <c r="S13" s="72"/>
      <c r="T13" s="102" t="s">
        <v>29</v>
      </c>
      <c r="U13" s="102" t="s">
        <v>30</v>
      </c>
      <c r="W13" s="137" t="s">
        <v>106</v>
      </c>
      <c r="X13" s="101" t="s">
        <v>107</v>
      </c>
      <c r="Y13" s="76"/>
      <c r="Z13" s="72"/>
    </row>
    <row r="14" spans="1:26">
      <c r="A14" s="75"/>
      <c r="B14" s="77"/>
      <c r="C14" s="79">
        <v>11</v>
      </c>
      <c r="D14" s="79">
        <v>50</v>
      </c>
      <c r="E14" s="75"/>
      <c r="F14" s="79">
        <v>50</v>
      </c>
      <c r="G14" s="79">
        <v>34</v>
      </c>
      <c r="H14" s="75"/>
      <c r="I14" s="103">
        <f>J14/M$5</f>
        <v>16.657627713887059</v>
      </c>
      <c r="J14" s="104">
        <f>C$7*M$5*((K$10*0.0254/2)*2*PI())/(0.3048*60)*C14/D14*C15/D15*C16/D16*F14/G14</f>
        <v>14.848024703070237</v>
      </c>
      <c r="K14" s="105">
        <f>IF($I$5&gt;0,($L$7-M15*PI()/30*motorK($D$5,$E$5,$F$5))/($J$5+$K$5+$K$6+$K$7),0)</f>
        <v>66.747193874673783</v>
      </c>
      <c r="L14" s="136">
        <f>K14/$J$10</f>
        <v>1.6686798468668447</v>
      </c>
      <c r="M14" s="104">
        <f>(1-$I$26/$M$6*($K$10/2)*0.112984829/I15/($D$7*$G$5))*I14</f>
        <v>7.3719065778478345</v>
      </c>
      <c r="N14" s="81"/>
      <c r="O14" s="75"/>
      <c r="P14" s="77"/>
      <c r="Q14" s="79">
        <v>11</v>
      </c>
      <c r="R14" s="79">
        <v>32</v>
      </c>
      <c r="S14" s="82" t="s">
        <v>27</v>
      </c>
      <c r="T14" s="121">
        <f>Q$6*X5/Q18*(360/60)</f>
        <v>1733.2218749999993</v>
      </c>
      <c r="U14" s="106">
        <f>90/T14</f>
        <v>5.1926415941409718E-2</v>
      </c>
      <c r="W14" s="122">
        <f>((C10+D10+E10+F10)/Q10*G10)*(T10/2*L10+R10/2*S10)*U10</f>
        <v>23.8850625</v>
      </c>
      <c r="X14" s="125">
        <f>((C10+D10+E10+F10)/Q10*G10)*(T10/2*L10+(W10/X10)*R10/2*S10)*U10</f>
        <v>100.97750000000001</v>
      </c>
      <c r="Y14" s="81"/>
      <c r="Z14" s="75"/>
    </row>
    <row r="15" spans="1:26">
      <c r="A15" s="65"/>
      <c r="B15" s="84"/>
      <c r="C15" s="79">
        <v>1</v>
      </c>
      <c r="D15" s="79">
        <v>1</v>
      </c>
      <c r="E15" s="65"/>
      <c r="F15" s="65"/>
      <c r="G15" s="65"/>
      <c r="H15" s="65"/>
      <c r="I15" s="107">
        <f>D14*D15*D16*G14/C14/C15/C16/F14</f>
        <v>5.5636363636363635</v>
      </c>
      <c r="J15" s="65" t="s">
        <v>20</v>
      </c>
      <c r="K15" s="108">
        <f>IF($I$6&gt;0,($L$7-M15*PI()/30*motorK($D$6,$E$6,$F$6))/($J$6+$K$5+$K$6+$K$7),0)</f>
        <v>0</v>
      </c>
      <c r="L15" s="136">
        <f>K15/$J$10</f>
        <v>0</v>
      </c>
      <c r="M15" s="132">
        <f>(1-$I$26/I15/$M$6*($K$10/2)*0.112984829/$G$5/$D$7)*$C$7</f>
        <v>2349.9639084704668</v>
      </c>
      <c r="N15" s="87"/>
      <c r="O15" s="65"/>
      <c r="P15" s="84"/>
      <c r="Q15" s="79">
        <v>14</v>
      </c>
      <c r="R15" s="79">
        <v>84</v>
      </c>
      <c r="S15" s="82" t="s">
        <v>100</v>
      </c>
      <c r="T15" s="121">
        <f>$T$14-$T$14/$X$18*W$14</f>
        <v>1406.9786422468424</v>
      </c>
      <c r="U15" s="106">
        <f>90/T15</f>
        <v>6.3966855855236412E-2</v>
      </c>
      <c r="Y15" s="87"/>
      <c r="Z15" s="65"/>
    </row>
    <row r="16" spans="1:26">
      <c r="A16" s="65"/>
      <c r="B16" s="84"/>
      <c r="C16" s="79">
        <v>30</v>
      </c>
      <c r="D16" s="79">
        <v>54</v>
      </c>
      <c r="E16" s="65"/>
      <c r="F16" s="65"/>
      <c r="G16" s="65"/>
      <c r="H16" s="65"/>
      <c r="I16" s="109"/>
      <c r="J16" s="65"/>
      <c r="K16" s="105">
        <f>$G$5*($I$5*K14+$I$6*K15)</f>
        <v>400.48316324804273</v>
      </c>
      <c r="L16" s="136">
        <f>K16/I10</f>
        <v>3.3373596937336893</v>
      </c>
      <c r="M16" s="110"/>
      <c r="N16" s="87"/>
      <c r="O16" s="65"/>
      <c r="P16" s="84"/>
      <c r="Q16" s="79">
        <v>12</v>
      </c>
      <c r="R16" s="79">
        <v>32</v>
      </c>
      <c r="S16" s="82" t="s">
        <v>101</v>
      </c>
      <c r="T16" s="121">
        <f>$T$14-$T$14/$X$18*X$14</f>
        <v>353.98219181592162</v>
      </c>
      <c r="U16" s="106">
        <f>90/T16</f>
        <v>0.25425007833953961</v>
      </c>
      <c r="Y16" s="87"/>
      <c r="Z16" s="65"/>
    </row>
    <row r="17" spans="1:26" ht="60" customHeight="1">
      <c r="A17" s="65"/>
      <c r="B17" s="84"/>
      <c r="C17" s="111"/>
      <c r="D17" s="65"/>
      <c r="E17" s="65"/>
      <c r="F17" s="112" t="s">
        <v>72</v>
      </c>
      <c r="G17" s="112" t="s">
        <v>73</v>
      </c>
      <c r="H17" s="65"/>
      <c r="I17" s="112" t="s">
        <v>74</v>
      </c>
      <c r="J17" s="112" t="s">
        <v>75</v>
      </c>
      <c r="K17" s="112" t="s">
        <v>94</v>
      </c>
      <c r="L17" s="112" t="s">
        <v>95</v>
      </c>
      <c r="M17" s="112" t="s">
        <v>98</v>
      </c>
      <c r="N17" s="87"/>
      <c r="O17" s="65"/>
      <c r="P17" s="84"/>
      <c r="T17" s="102" t="s">
        <v>118</v>
      </c>
      <c r="U17" s="102" t="s">
        <v>116</v>
      </c>
      <c r="X17" s="137" t="s">
        <v>99</v>
      </c>
      <c r="Y17" s="87"/>
      <c r="Z17" s="65"/>
    </row>
    <row r="18" spans="1:26">
      <c r="A18" s="65"/>
      <c r="B18" s="84"/>
      <c r="C18" s="113">
        <f>IF(ISNUMBER(I14/I18), I14/I18, 1)</f>
        <v>2.1626297577854672</v>
      </c>
      <c r="D18" s="65" t="s">
        <v>83</v>
      </c>
      <c r="E18" s="65"/>
      <c r="F18" s="79">
        <v>34</v>
      </c>
      <c r="G18" s="79">
        <f>F14+G14-F18</f>
        <v>50</v>
      </c>
      <c r="H18" s="65"/>
      <c r="I18" s="103">
        <f>J18/M$5</f>
        <v>7.7024870549013764</v>
      </c>
      <c r="J18" s="104">
        <f>C$7*M$5*K$10*0.0254/2*2*PI()/(0.3048*60)*C14/D14*C15/D15*C16/D16*F18/G18</f>
        <v>6.8657266226996772</v>
      </c>
      <c r="K18" s="105">
        <f>IF($I$5&gt;0,($L$7-M19*PI()/30*motorK($D$5,$E$5,$F$5))/($J$5+$K$5+$K$6+$K$7),0)</f>
        <v>38.755849675017139</v>
      </c>
      <c r="L18" s="136">
        <f>K18/$J$10</f>
        <v>0.96889624187542844</v>
      </c>
      <c r="M18" s="104">
        <f>(1-$I$26/$M$6*($K$10/2)*0.112984829/I19/($D$7*$G$5))*I18</f>
        <v>5.7170721044933579</v>
      </c>
      <c r="N18" s="87"/>
      <c r="O18" s="65"/>
      <c r="P18" s="84"/>
      <c r="Q18" s="114">
        <f>R14*R15*R16/Q14/Q15/Q16</f>
        <v>46.545454545454554</v>
      </c>
      <c r="R18" s="115" t="s">
        <v>117</v>
      </c>
      <c r="T18" s="116">
        <f>(L7-Q6*(1-W14/X18)*PI()/30*motorK(R5,S5,T5))/W6</f>
        <v>7.7174034875825903</v>
      </c>
      <c r="U18" s="116">
        <f>(L7-Q6*(1-X14/X18)*PI()/30*motorK(R5,S5,T5))/W6</f>
        <v>32.626421248316646</v>
      </c>
      <c r="X18" s="123">
        <f>R6*Q18*U5*8.85074571515485*X6</f>
        <v>126.89339932474536</v>
      </c>
      <c r="Y18" s="87"/>
      <c r="Z18" s="65"/>
    </row>
    <row r="19" spans="1:26" ht="16" thickBot="1">
      <c r="A19" s="65"/>
      <c r="B19" s="84"/>
      <c r="C19" s="113">
        <f>IF(ISNUMBER(I18/I22),I18/I22,1)</f>
        <v>1</v>
      </c>
      <c r="D19" s="65" t="s">
        <v>83</v>
      </c>
      <c r="E19" s="65"/>
      <c r="F19" s="65"/>
      <c r="G19" s="65"/>
      <c r="H19" s="65"/>
      <c r="I19" s="107">
        <f>D14*D15*D16*G18/C14/C15/C16/F18</f>
        <v>12.032085561497325</v>
      </c>
      <c r="J19" s="66" t="s">
        <v>82</v>
      </c>
      <c r="K19" s="108">
        <f>IF($I$6&gt;0,($L$7-M19*PI()/30*motorK($D$6,$E$6,$F$6))/($J$6+$K$5+$K$6+$K$7),0)</f>
        <v>0</v>
      </c>
      <c r="L19" s="136">
        <f>K19/$J$10</f>
        <v>0</v>
      </c>
      <c r="M19" s="132">
        <f>(1-$I$26/I19/$M$6*($K$10/2)*0.112984829/$G$5/$D$7)*$C$7</f>
        <v>3941.279311276744</v>
      </c>
      <c r="N19" s="87"/>
      <c r="O19" s="65"/>
      <c r="P19" s="92"/>
      <c r="Q19" s="94"/>
      <c r="R19" s="94"/>
      <c r="S19" s="94"/>
      <c r="T19" s="94"/>
      <c r="U19" s="94"/>
      <c r="V19" s="94"/>
      <c r="W19" s="94"/>
      <c r="X19" s="94"/>
      <c r="Y19" s="97"/>
      <c r="Z19" s="65"/>
    </row>
    <row r="20" spans="1:26">
      <c r="A20" s="65"/>
      <c r="B20" s="84"/>
      <c r="C20" s="113">
        <f>C18*C19</f>
        <v>2.1626297577854672</v>
      </c>
      <c r="D20" s="65" t="s">
        <v>84</v>
      </c>
      <c r="E20" s="65"/>
      <c r="F20" s="65"/>
      <c r="G20" s="65"/>
      <c r="H20" s="65"/>
      <c r="I20" s="107"/>
      <c r="J20" s="107"/>
      <c r="K20" s="105">
        <f>$G$5*($I$5*K18+$I$6*K19)</f>
        <v>232.53509805010282</v>
      </c>
      <c r="L20" s="136">
        <f>K20/I10</f>
        <v>1.9377924837508569</v>
      </c>
      <c r="M20" s="110"/>
      <c r="N20" s="87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ht="60" customHeight="1">
      <c r="A21" s="65"/>
      <c r="B21" s="84"/>
      <c r="C21" s="111"/>
      <c r="D21" s="65"/>
      <c r="E21" s="65"/>
      <c r="F21" s="117" t="s">
        <v>10</v>
      </c>
      <c r="G21" s="117" t="s">
        <v>11</v>
      </c>
      <c r="H21" s="65"/>
      <c r="I21" s="117" t="s">
        <v>24</v>
      </c>
      <c r="J21" s="117" t="s">
        <v>25</v>
      </c>
      <c r="K21" s="117" t="s">
        <v>94</v>
      </c>
      <c r="L21" s="117" t="s">
        <v>95</v>
      </c>
      <c r="M21" s="117" t="s">
        <v>97</v>
      </c>
      <c r="N21" s="87"/>
      <c r="O21" s="65"/>
      <c r="Z21" s="65"/>
    </row>
    <row r="22" spans="1:26">
      <c r="A22" s="65"/>
      <c r="B22" s="84"/>
      <c r="E22" s="65"/>
      <c r="F22" s="79">
        <v>0</v>
      </c>
      <c r="G22" s="79">
        <f>F14+G14-F22</f>
        <v>84</v>
      </c>
      <c r="H22" s="65"/>
      <c r="I22" s="103">
        <f>J22/M$5</f>
        <v>0</v>
      </c>
      <c r="J22" s="104">
        <f>C$7*M$5*K$10*0.0254/2*2*PI()/(0.3048*60)*C14/D14*C15/D15*C16/D16*F22/G22</f>
        <v>0</v>
      </c>
      <c r="K22" s="105" t="e">
        <f>IF($I$5&gt;0,($L$7-M23*PI()/30*motorK($D$5,$E$5,$F$5))/($J$5+$K$5+$K$6+$K$7),0)</f>
        <v>#DIV/0!</v>
      </c>
      <c r="L22" s="136" t="e">
        <f>K22/$J$10</f>
        <v>#DIV/0!</v>
      </c>
      <c r="M22" s="104" t="e">
        <f>(1-$I$26/$M$6*($K$10/2)*0.112984829/I23/($D$7*$G$5))*I22</f>
        <v>#DIV/0!</v>
      </c>
      <c r="N22" s="87"/>
      <c r="O22" s="65"/>
      <c r="Z22" s="65"/>
    </row>
    <row r="23" spans="1:26">
      <c r="A23" s="65"/>
      <c r="B23" s="84"/>
      <c r="E23" s="65"/>
      <c r="F23" s="65"/>
      <c r="G23" s="65"/>
      <c r="H23" s="65"/>
      <c r="I23" s="107" t="e">
        <f>D14*D15*D16*G22/C14/C15/C16/F22</f>
        <v>#DIV/0!</v>
      </c>
      <c r="J23" s="66" t="s">
        <v>21</v>
      </c>
      <c r="K23" s="108">
        <f>IF($I$6&gt;0,($L$7-M23*PI()/30*motorK($D$6,$E$6,$F$6))/($J$6+$K$5+$K$6+$K$7),0)</f>
        <v>0</v>
      </c>
      <c r="L23" s="136">
        <f>K23/$J$10</f>
        <v>0</v>
      </c>
      <c r="M23" s="132" t="e">
        <f>(1-$I$26/I23/$M$6*($K$10/2)*0.112984829/$G$5/$D$7)*$C$7</f>
        <v>#DIV/0!</v>
      </c>
      <c r="N23" s="87"/>
      <c r="O23" s="65"/>
      <c r="Z23" s="65"/>
    </row>
    <row r="24" spans="1:26">
      <c r="A24" s="65"/>
      <c r="B24" s="84"/>
      <c r="C24" s="113"/>
      <c r="D24" s="65"/>
      <c r="E24" s="65"/>
      <c r="F24" s="65"/>
      <c r="G24" s="65"/>
      <c r="H24" s="65"/>
      <c r="I24" s="107"/>
      <c r="K24" s="105" t="e">
        <f>$G$5*($I$5*K22+$I$6*K23)</f>
        <v>#DIV/0!</v>
      </c>
      <c r="L24" s="136" t="e">
        <f>K24/I10</f>
        <v>#DIV/0!</v>
      </c>
      <c r="M24" s="110"/>
      <c r="N24" s="87"/>
      <c r="O24" s="65"/>
      <c r="Z24" s="65"/>
    </row>
    <row r="25" spans="1:26" ht="60" customHeight="1">
      <c r="A25" s="65"/>
      <c r="B25" s="84"/>
      <c r="C25" s="101" t="s">
        <v>112</v>
      </c>
      <c r="H25" s="65"/>
      <c r="I25" s="101" t="s">
        <v>85</v>
      </c>
      <c r="J25" s="101" t="s">
        <v>86</v>
      </c>
      <c r="K25" s="117" t="s">
        <v>113</v>
      </c>
      <c r="L25" s="112" t="s">
        <v>114</v>
      </c>
      <c r="M25" s="102" t="s">
        <v>92</v>
      </c>
      <c r="N25" s="87"/>
      <c r="O25" s="65"/>
      <c r="Z25" s="65"/>
    </row>
    <row r="26" spans="1:26">
      <c r="A26" s="65"/>
      <c r="B26" s="84"/>
      <c r="C26" s="129">
        <f>L7/(K5+K6)</f>
        <v>600</v>
      </c>
      <c r="H26" s="65"/>
      <c r="I26" s="118">
        <f>(C$10+D$10+E$10+F$10)*G$10*L10</f>
        <v>186.42000000000002</v>
      </c>
      <c r="J26" s="118">
        <f>(C$10+D$10+E$10+F$10)*G$10*M10</f>
        <v>114.72000000000001</v>
      </c>
      <c r="K26" s="118" t="e">
        <f>pushingForce(D5,D6,F5,F6,E5,E6,I5,I6,G5,J5,J6,L5,L6,L7,I23,M6,J10,K10)</f>
        <v>#VALUE!</v>
      </c>
      <c r="L26" s="118">
        <f>pushingForce(D5,D6,F5,F6,E5,E6,I5,I6,G5,J5,J6,L5,L6,L7,I19,M6,J10,K10)</f>
        <v>221.99907856324972</v>
      </c>
      <c r="M26" s="118">
        <f>pushingForce(D5,D6,F5,F6,E5,E6,I5,I6,G5,J5,J6,L5,L6,L7,I15,M6,J10,K10)</f>
        <v>102.65237392764666</v>
      </c>
      <c r="N26" s="87"/>
      <c r="O26" s="65"/>
      <c r="Z26" s="65"/>
    </row>
    <row r="27" spans="1:26" ht="16" thickBot="1">
      <c r="A27" s="65"/>
      <c r="B27" s="92"/>
      <c r="C27" s="94"/>
      <c r="D27" s="94"/>
      <c r="E27" s="94"/>
      <c r="F27" s="94"/>
      <c r="G27" s="94"/>
      <c r="H27" s="94"/>
      <c r="I27" s="94"/>
      <c r="J27" s="94"/>
      <c r="K27" s="94"/>
      <c r="L27" s="119"/>
      <c r="M27" s="94"/>
      <c r="N27" s="97"/>
      <c r="O27" s="65"/>
      <c r="Z27" s="65"/>
    </row>
    <row r="28" spans="1:26">
      <c r="O28" s="65"/>
      <c r="Z28" s="65"/>
    </row>
    <row r="29" spans="1:26">
      <c r="K29" s="120"/>
    </row>
    <row r="32" spans="1:26">
      <c r="D32" s="127"/>
      <c r="E32" s="127"/>
      <c r="F32" s="127"/>
    </row>
  </sheetData>
  <conditionalFormatting sqref="K16 K20 K24">
    <cfRule type="cellIs" dxfId="0" priority="2" operator="greaterThan">
      <formula>$C$26</formula>
    </cfRule>
  </conditionalFormatting>
  <conditionalFormatting sqref="L14:L16 L18:L20 L22:L24">
    <cfRule type="dataBar" priority="1">
      <dataBar>
        <cfvo type="min"/>
        <cfvo type="max"/>
        <color rgb="FFFEB2C1"/>
      </dataBar>
      <extLst>
        <ext xmlns:x14="http://schemas.microsoft.com/office/spreadsheetml/2009/9/main" uri="{B025F937-C7B1-47D3-B67F-A62EFF666E3E}">
          <x14:id>{D78D52C6-2D9A-6947-82DC-434D5674A6D1}</x14:id>
        </ext>
      </extLst>
    </cfRule>
  </conditionalFormatting>
  <pageMargins left="0.75" right="0.75" top="1" bottom="1" header="0.5" footer="0.5"/>
  <pageSetup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8D52C6-2D9A-6947-82DC-434D5674A6D1}">
            <x14:dataBar minLength="0" maxLength="100" negativeBarColorSameAsPositive="1">
              <x14:cfvo type="autoMin"/>
              <x14:cfvo type="autoMax"/>
              <x14:axisColor rgb="FF000000"/>
            </x14:dataBar>
          </x14:cfRule>
          <xm:sqref>L14:L16 L18:L20 L22:L24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MOTOR-SPECS</vt:lpstr>
      <vt:lpstr>Rotary Mechanism</vt:lpstr>
      <vt:lpstr>2-Speed Drive</vt:lpstr>
      <vt:lpstr>2-Speed Drive (2)</vt:lpstr>
      <vt:lpstr>2-Speed Drive (3)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V-Neun</dc:creator>
  <cp:lastModifiedBy>Rauhul Varma</cp:lastModifiedBy>
  <dcterms:created xsi:type="dcterms:W3CDTF">2012-08-11T00:19:30Z</dcterms:created>
  <dcterms:modified xsi:type="dcterms:W3CDTF">2015-01-22T20:15:57Z</dcterms:modified>
</cp:coreProperties>
</file>